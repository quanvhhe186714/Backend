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Data" sheetId="1" r:id="rId1"/>
    <sheet name="Dept" sheetId="2" r:id="rId2"/>
    <sheet name="Region" sheetId="3" r:id="rId3"/>
    <sheet name="Readme" sheetId="4" r:id="rId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<sst xmlns="http://schemas.openxmlformats.org/spreadsheetml/2006/main" count="543" uniqueCount="317">
  <si>
    <t>Emp_ID</t>
  </si>
  <si>
    <t>Name</t>
  </si>
  <si>
    <t>Department</t>
  </si>
  <si>
    <t>Region</t>
  </si>
  <si>
    <t>Email</t>
  </si>
  <si>
    <t>Join_Date</t>
  </si>
  <si>
    <t>Salary</t>
  </si>
  <si>
    <t>Bonus</t>
  </si>
  <si>
    <t>Hours_Worked</t>
  </si>
  <si>
    <t>Overtime</t>
  </si>
  <si>
    <t>Sales_Q1</t>
  </si>
  <si>
    <t>Sales_Q2</t>
  </si>
  <si>
    <t>Sales_Q3</t>
  </si>
  <si>
    <t>Sales_Q4</t>
  </si>
  <si>
    <t>Target</t>
  </si>
  <si>
    <t>Active</t>
  </si>
  <si>
    <t>Manager_ID</t>
  </si>
  <si>
    <t>Phone</t>
  </si>
  <si>
    <t>Notes</t>
  </si>
  <si>
    <t>Code</t>
  </si>
  <si>
    <t>SKU</t>
  </si>
  <si>
    <t>Category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</si>
  <si>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</si>
  <si>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</si>
  <si>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</si>
  <si>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</si>
  <si>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</si>
  <si>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</si>
  <si>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</si>
  <si>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</si>
  <si>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</si>
  <si>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</si>
  <si>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</si>
  <si>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</si>
  <si>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</si>
  <si>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</si>
  <si>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</si>
  <si>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</si>
  <si>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</si>
  <si>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</si>
  <si>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</si>
  <si>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</si>
  <si>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</si>
  <si>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</si>
  <si>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</si>
  <si>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</si>
  <si>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</si>
  <si>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</si>
  <si>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</si>
  <si>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</si>
  <si>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</si>
  <si>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</si>
  <si>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</si>
  <si>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</si>
  <si>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</si>
  <si>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</si>
  <si>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</si>
  <si>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</si>
  <si>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</si>
  <si>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</si>
  <si>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</si>
  <si>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</si>
  <si>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Trần An</t>
  </si>
  <si>
    <t>Nguyễn An</t>
  </si>
  <si>
    <t>Nguyễn Hà</t>
  </si>
  <si>
    <t>Huỳnh Minh</t>
  </si>
  <si>
    <t>Huỳnh Khánh</t>
  </si>
  <si>
    <t>Huỳnh Hà</t>
  </si>
  <si>
    <t>Lê Uyên</t>
  </si>
  <si>
    <t>Trần Khánh</t>
  </si>
  <si>
    <t>Võ Minh</t>
  </si>
  <si>
    <t>Lê Hà</t>
  </si>
  <si>
    <t>Trần Minh</t>
  </si>
  <si>
    <t>Trần Ngọc</t>
  </si>
  <si>
    <t>Vũ An</t>
  </si>
  <si>
    <t>Lê Giang</t>
  </si>
  <si>
    <t>Phan Phúc</t>
  </si>
  <si>
    <t>Nguyễn Châu</t>
  </si>
  <si>
    <t>Vũ Khánh</t>
  </si>
  <si>
    <t>Phạm Khánh</t>
  </si>
  <si>
    <t>Phan Minh</t>
  </si>
  <si>
    <t>Nguyễn Bình</t>
  </si>
  <si>
    <t>Phạm Quân</t>
  </si>
  <si>
    <t>Phạm Oanh</t>
  </si>
  <si>
    <t>Đặng Duy</t>
  </si>
  <si>
    <t>Vũ Ngọc</t>
  </si>
  <si>
    <t>Võ Giang</t>
  </si>
  <si>
    <t>Võ Trang</t>
  </si>
  <si>
    <t>Huỳnh Trang</t>
  </si>
  <si>
    <t>Vũ Phúc</t>
  </si>
  <si>
    <t>Võ Quân</t>
  </si>
  <si>
    <t>Đặng Trang</t>
  </si>
  <si>
    <t>Nguyễn Yến</t>
  </si>
  <si>
    <t>Võ Ngọc</t>
  </si>
  <si>
    <t>Lê Ngọc</t>
  </si>
  <si>
    <t>Hoàng Linh</t>
  </si>
  <si>
    <t>Ops</t>
  </si>
  <si>
    <t>Sales</t>
  </si>
  <si>
    <t>Finance</t>
  </si>
  <si>
    <t>IT</t>
  </si>
  <si>
    <t>Marketing</t>
  </si>
  <si>
    <t>HR</t>
  </si>
  <si>
    <t>DN</t>
  </si>
  <si>
    <t>HN</t>
  </si>
  <si>
    <t>CT</t>
  </si>
  <si>
    <t>HCM</t>
  </si>
  <si>
    <t>HP</t>
  </si>
  <si>
    <t>an.trần@contoso.vn</t>
  </si>
  <si>
    <t>an.nguyễn@contoso.vn</t>
  </si>
  <si>
    <t>hà.nguyễn@example.com</t>
  </si>
  <si>
    <t>minh.huỳnh@contoso.vn</t>
  </si>
  <si>
    <t>khánh.huỳnh@company.vn</t>
  </si>
  <si>
    <t>hà.huỳnh@contoso.vn</t>
  </si>
  <si>
    <t>uyên.lê@company.vn</t>
  </si>
  <si>
    <t>khánh.trần@example.com</t>
  </si>
  <si>
    <t>minh.võ@example.com</t>
  </si>
  <si>
    <t>hà.lê@contoso.vn</t>
  </si>
  <si>
    <t>minh.trần@example.com</t>
  </si>
  <si>
    <t>ngọc.trần@contoso.vn</t>
  </si>
  <si>
    <t>an.vũ@example.com</t>
  </si>
  <si>
    <t>giang.lê@contoso.vn</t>
  </si>
  <si>
    <t>phúc.phan@contoso.vn</t>
  </si>
  <si>
    <t>châu.nguyễn@example.com</t>
  </si>
  <si>
    <t>khánh.vũ@example.com</t>
  </si>
  <si>
    <t>phúc.phan@example.com</t>
  </si>
  <si>
    <t>khánh.phạm@contoso.vn</t>
  </si>
  <si>
    <t>an.nguyễn@company.vn</t>
  </si>
  <si>
    <t>minh.phan@contoso.vn</t>
  </si>
  <si>
    <t>bình.nguyễn@contoso.vn</t>
  </si>
  <si>
    <t>quân.phạm@company.vn</t>
  </si>
  <si>
    <t>oanh.phạm@example.com</t>
  </si>
  <si>
    <t>duy.đặng@company.vn</t>
  </si>
  <si>
    <t>ngọc.vũ@example.com</t>
  </si>
  <si>
    <t>giang.võ@company.vn</t>
  </si>
  <si>
    <t>châu.nguyễn@contoso.vn</t>
  </si>
  <si>
    <t>trang.võ@company.vn</t>
  </si>
  <si>
    <t>giang.võ@contoso.vn</t>
  </si>
  <si>
    <t>trang.huỳnh@example.com</t>
  </si>
  <si>
    <t>phúc.vũ@company.vn</t>
  </si>
  <si>
    <t>quân.võ@example.com</t>
  </si>
  <si>
    <t>trang.đặng@contoso.vn</t>
  </si>
  <si>
    <t>yến.nguyễn@contoso.vn</t>
  </si>
  <si>
    <t>ngọc.võ@contoso.vn</t>
  </si>
  <si>
    <t>ngọc.lê@company.vn</t>
  </si>
  <si>
    <t>linh.hoàng@company.vn</t>
  </si>
  <si>
    <t>0982458591</t>
  </si>
  <si>
    <t>0938536477</t>
  </si>
  <si>
    <t>0917374122</t>
  </si>
  <si>
    <t>0915918715</t>
  </si>
  <si>
    <t>0917377459</t>
  </si>
  <si>
    <t>0929961380</t>
  </si>
  <si>
    <t>0906292423</t>
  </si>
  <si>
    <t>0943342608</t>
  </si>
  <si>
    <t>0972525206</t>
  </si>
  <si>
    <t>0985218028</t>
  </si>
  <si>
    <t>0949398441</t>
  </si>
  <si>
    <t>0981009594</t>
  </si>
  <si>
    <t>0919153566</t>
  </si>
  <si>
    <t>0934374754</t>
  </si>
  <si>
    <t>0904860684</t>
  </si>
  <si>
    <t>0919626108</t>
  </si>
  <si>
    <t>0932582524</t>
  </si>
  <si>
    <t>0966692553</t>
  </si>
  <si>
    <t>0918434500</t>
  </si>
  <si>
    <t>0903762152</t>
  </si>
  <si>
    <t>0902022698</t>
  </si>
  <si>
    <t>0922149597</t>
  </si>
  <si>
    <t>0999770838</t>
  </si>
  <si>
    <t>0952217071</t>
  </si>
  <si>
    <t>0937199635</t>
  </si>
  <si>
    <t>0925437001</t>
  </si>
  <si>
    <t>0949479356</t>
  </si>
  <si>
    <t>0943710895</t>
  </si>
  <si>
    <t>0981604451</t>
  </si>
  <si>
    <t>0935186414</t>
  </si>
  <si>
    <t>0961415846</t>
  </si>
  <si>
    <t>0908896868</t>
  </si>
  <si>
    <t>0942164686</t>
  </si>
  <si>
    <t>0995453786</t>
  </si>
  <si>
    <t>0941744682</t>
  </si>
  <si>
    <t>0953090865</t>
  </si>
  <si>
    <t>0938053918</t>
  </si>
  <si>
    <t>0996406444</t>
  </si>
  <si>
    <t>0996623525</t>
  </si>
  <si>
    <t>0918640615</t>
  </si>
  <si>
    <t>đã ký HĐ</t>
  </si>
  <si>
    <t>Needs follow-up</t>
  </si>
  <si>
    <t>pending</t>
  </si>
  <si>
    <t>thử nghiệm</t>
  </si>
  <si>
    <t>OK</t>
  </si>
  <si>
    <t>VIP</t>
  </si>
  <si>
    <t>OP-001-A</t>
  </si>
  <si>
    <t>SA-002-A</t>
  </si>
  <si>
    <t>OP-003-B</t>
  </si>
  <si>
    <t>SA-004-C</t>
  </si>
  <si>
    <t>OP-005-A</t>
  </si>
  <si>
    <t>FI-006-A</t>
  </si>
  <si>
    <t>IT-007-C</t>
  </si>
  <si>
    <t>MA-008-A</t>
  </si>
  <si>
    <t>OP-009-B</t>
  </si>
  <si>
    <t>OP-010-C</t>
  </si>
  <si>
    <t>OP-011-A</t>
  </si>
  <si>
    <t>OP-012-C</t>
  </si>
  <si>
    <t>SA-013-B</t>
  </si>
  <si>
    <t>OP-014-C</t>
  </si>
  <si>
    <t>IT-015-B</t>
  </si>
  <si>
    <t>OP-016-A</t>
  </si>
  <si>
    <t>MA-017-C</t>
  </si>
  <si>
    <t>IT-018-B</t>
  </si>
  <si>
    <t>MA-019-A</t>
  </si>
  <si>
    <t>SA-020-A</t>
  </si>
  <si>
    <t>IT-021-B</t>
  </si>
  <si>
    <t>MA-022-C</t>
  </si>
  <si>
    <t>SA-023-A</t>
  </si>
  <si>
    <t>HR-024-B</t>
  </si>
  <si>
    <t>SA-025-A</t>
  </si>
  <si>
    <t>MA-026-A</t>
  </si>
  <si>
    <t>FI-027-C</t>
  </si>
  <si>
    <t>OP-028-B</t>
  </si>
  <si>
    <t>MA-029-A</t>
  </si>
  <si>
    <t>IT-030-A</t>
  </si>
  <si>
    <t>MA-031-A</t>
  </si>
  <si>
    <t>OP-032-B</t>
  </si>
  <si>
    <t>FI-033-A</t>
  </si>
  <si>
    <t>OP-034-B</t>
  </si>
  <si>
    <t>FI-035-B</t>
  </si>
  <si>
    <t>MA-036-B</t>
  </si>
  <si>
    <t>OP-037-B</t>
  </si>
  <si>
    <t>IT-038-A</t>
  </si>
  <si>
    <t>MA-039-C</t>
  </si>
  <si>
    <t>HR-040-A</t>
  </si>
  <si>
    <t>SKU-98696</t>
  </si>
  <si>
    <t>SKU-64987</t>
  </si>
  <si>
    <t>SKU-23396</t>
  </si>
  <si>
    <t>SKU-59615</t>
  </si>
  <si>
    <t>SKU-40512</t>
  </si>
  <si>
    <t>SKU-89840</t>
  </si>
  <si>
    <t>SKU-40021</t>
  </si>
  <si>
    <t>SKU-28726</t>
  </si>
  <si>
    <t>SKU-76784</t>
  </si>
  <si>
    <t>SKU-71348</t>
  </si>
  <si>
    <t>SKU-10425</t>
  </si>
  <si>
    <t>SKU-80697</t>
  </si>
  <si>
    <t>SKU-20322</t>
  </si>
  <si>
    <t>SKU-65461</t>
  </si>
  <si>
    <t>SKU-54313</t>
  </si>
  <si>
    <t>SKU-53309</t>
  </si>
  <si>
    <t>SKU-63354</t>
  </si>
  <si>
    <t>SKU-17944</t>
  </si>
  <si>
    <t>SKU-42742</t>
  </si>
  <si>
    <t>SKU-62565</t>
  </si>
  <si>
    <t>SKU-38534</t>
  </si>
  <si>
    <t>SKU-20500</t>
  </si>
  <si>
    <t>SKU-96163</t>
  </si>
  <si>
    <t>SKU-69929</t>
  </si>
  <si>
    <t>SKU-19016</t>
  </si>
  <si>
    <t>SKU-23577</t>
  </si>
  <si>
    <t>SKU-93130</t>
  </si>
  <si>
    <t>SKU-93507</t>
  </si>
  <si>
    <t>SKU-29536</t>
  </si>
  <si>
    <t>SKU-56898</t>
  </si>
  <si>
    <t>SKU-33206</t>
  </si>
  <si>
    <t>SKU-60140</t>
  </si>
  <si>
    <t>SKU-53025</t>
  </si>
  <si>
    <t>SKU-33405</t>
  </si>
  <si>
    <t>SKU-34914</t>
  </si>
  <si>
    <t>SKU-91678</t>
  </si>
  <si>
    <t>SKU-26683</t>
  </si>
  <si>
    <t>SKU-86019</t>
  </si>
  <si>
    <t>SKU-77561</t>
  </si>
  <si>
    <t>SKU-90120</t>
  </si>
  <si>
    <t>A</t>
  </si>
  <si>
    <t>B</t>
  </si>
  <si>
    <t>C</t>
  </si>
  <si>
    <t>Cost_Center</t>
  </si>
  <si>
    <t>Headcount_Plan</t>
  </si>
  <si>
    <t>CC-100</t>
  </si>
  <si>
    <t>CC-200</t>
  </si>
  <si>
    <t>CC-300</t>
  </si>
  <si>
    <t>CC-400</t>
  </si>
  <si>
    <t>CC-500</t>
  </si>
  <si>
    <t>CC-600</t>
  </si>
  <si>
    <t>City</t>
  </si>
  <si>
    <t>Ship_Fee</t>
  </si>
  <si>
    <t>Hồ Chí Minh</t>
  </si>
  <si>
    <t>Hà Nội</t>
  </si>
  <si>
    <t>Đà Nẵng</t>
  </si>
  <si>
    <t>Cần Thơ</t>
  </si>
  <si>
    <t>Hải Phòng</t>
  </si>
  <si>
    <t>Total_Sales</t>
  </si>
  <si>
    <t>Achieved_%</t>
  </si>
  <si>
    <t>Bonus_Eligible</t>
  </si>
  <si>
    <t>Email_Domain</t>
  </si>
  <si>
    <t>Year_Joined</t>
  </si>
  <si>
    <t>Dept_CostCenter</t>
  </si>
  <si>
    <t>Region_City</t>
  </si>
  <si>
    <t>Name_Upper</t>
  </si>
  <si>
    <t>Target_Gap</t>
  </si>
  <si>
    <t>IFERROR_Demo</t>
  </si>
  <si>
    <t>Mục</t>
  </si>
  <si>
    <t>Nội dung</t>
  </si>
  <si>
    <t>Mục đích</t>
  </si>
  <si>
    <t>Sheet</t>
  </si>
  <si>
    <t>Gợi ý công thức</t>
  </si>
  <si>
    <t>Mẹo</t>
  </si>
  <si>
    <t>Bảng này giúp bạn test nhanh các hàm Excel phổ biến (SUM, AVERAGE, IF, XLOOKUP, TEXT, DATE, v.v.).</t>
  </si>
  <si>
    <t>TestData: dữ liệu chính (đã tạo Table tên tblData).</t>
  </si>
  <si>
    <t>Dept: tra cứu Department → Cost_Center.</t>
  </si>
  <si>
    <t>Region: tra cứu Region → City/Ship_Fee.</t>
  </si>
  <si>
    <t>Ví dụ: =SUM(tblData[Sales_Q1]:tblData[Sales_Q4])</t>
  </si>
  <si>
    <t>Ví dụ: =XLOOKUP("IT",Dept[Department],Dept[Cost_Center])</t>
  </si>
  <si>
    <t>Ví dụ: =TEXT(tblData[@Join_Date],"yyyy-mm")</t>
  </si>
  <si>
    <t>Ví dụ: =IF(tblData[@Achieved_%]&gt;=1,"Đạt","Chưa đạt")</t>
  </si>
  <si>
    <t>Ví dụ: =RIGHT(tblData[@Email],LEN(tblData[@Email])-FIND("@",tblData[@Email]))</t>
  </si>
  <si>
    <t>Ví dụ: =SUMIFS(tblData[Total_Sales],tblData[Region],"HCM",tblData[Department],"Sales")</t>
  </si>
  <si>
    <t>Ví dụ: =FILTER(tblData[Email],tblData[Active]=TRUE)  (Excel 365)</t>
  </si>
  <si>
    <t>Bạn có thể tạo PivotTable từ TestData để thực hành tổng hợp dữ liệu.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</si>
</sst>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Data" displayName="tblData" ref="A1:V41" totalsRowShown="0">
  <autoFilter ref="A1:V41"/>
  <tableColumns count="22">
    <tableColumn id="1" name="Emp_ID"/>
    <tableColumn id="2" name="Name"/>
    <tableColumn id="3" name="Department"/>
    <tableColumn id="4" name="Region"/>
    <tableColumn id="5" name="Email"/>
    <tableColumn id="6" name="Join_Date"/>
    <tableColumn id="7" name="Salary"/>
    <tableColumn id="8" name="Bonus"/>
    <tableColumn id="9" name="Hours_Worked"/>
    <tableColumn id="10" name="Overtime"/>
    <tableColumn id="11" name="Sales_Q1"/>
    <tableColumn id="12" name="Sales_Q2"/>
    <tableColumn id="13" name="Sales_Q3"/>
    <tableColumn id="14" name="Sales_Q4"/>
    <tableColumn id="15" name="Target"/>
    <tableColumn id="16" name="Active"/>
    <tableColumn id="17" name="Manager_ID"/>
    <tableColumn id="18" name="Phone"/>
    <tableColumn id="19" name="Notes"/>
    <tableColumn id="20" name="Code"/>
    <tableColumn id="21" name="SKU"/>
    <tableColumn id="22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1"/>
  <sheetViews>
    <sheetView tabSelected="1" workbookViewId="0"/>
  </sheetViews>
  <sheetFormatPr defaultRowHeight="15"/>
  <cols>
    <col min="24" max="24" width="12.7109375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289</v>
      </c>
      <c r="X1" s="1" t="s">
        <v>290</v>
      </c>
      <c r="Y1" t="s">
        <v>291</v>
      </c>
      <c r="Z1" t="s">
        <v>292</v>
      </c>
      <c r="AA1" t="s">
        <v>293</v>
      </c>
      <c r="AB1" t="s">
        <v>294</v>
      </c>
      <c r="AC1" t="s">
        <v>295</v>
      </c>
      <c r="AD1" t="s">
        <v>296</v>
      </c>
      <c r="AE1" t="s">
        <v>297</v>
      </c>
      <c r="AF1" t="s">
        <v>298</v>
      </c>
    </row>
    <row r="2" spans="1:32">
      <c r="A2" t="s">
        <v>22</v>
      </c>
      <c r="B2" t="s">
        <v>62</v>
      </c>
      <c r="C2" t="s">
        <v>96</v>
      </c>
      <c r="D2" t="s">
        <v>102</v>
      </c>
      <c r="E2" t="s">
        <v>107</v>
      </c>
      <c r="F2" s="2">
        <v>44957</v>
      </c>
      <c r="G2">
        <v>29081788</v>
      </c>
      <c r="H2">
        <v>4925583</v>
      </c>
      <c r="I2">
        <v>175.7</v>
      </c>
      <c r="J2">
        <v>0</v>
      </c>
      <c r="K2">
        <v>299467210</v>
      </c>
      <c r="L2">
        <v>126737383</v>
      </c>
      <c r="M2">
        <v>161190146</v>
      </c>
      <c r="N2">
        <v>138409749</v>
      </c>
      <c r="O2">
        <v>392285876</v>
      </c>
      <c r="P2" t="b">
        <v>1</v>
      </c>
      <c r="Q2" t="s">
        <v>22</v>
      </c>
      <c r="R2" t="s">
        <v>145</v>
      </c>
      <c r="S2" t="s">
        <v>185</v>
      </c>
      <c r="T2" t="s">
        <v>191</v>
      </c>
      <c r="U2" t="s">
        <v>231</v>
      </c>
      <c r="V2" t="s">
        <v>271</v>
      </c>
      <c r="W2">
        <f>SUM(tblData[@Sales_Q1]:tblData[@Sales_Q4])</f>
        <v>0</v>
      </c>
      <c r="X2" s="1">
        <f>IF(tblData[@Target]=0,0, SUM(tblData[@Sales_Q1]:tblData[@Sales_Q4])/tblData[@Target])</f>
        <v>0</v>
      </c>
      <c r="Y2">
        <f>IF([@[Achieved_%]]&gt;=1,"Yes","No")</f>
        <v>0</v>
      </c>
      <c r="Z2">
        <f>RIGHT(tblData[@Email],LEN(tblData[@Email])-FIND("@",tblData[@Email]))</f>
        <v>0</v>
      </c>
      <c r="AA2">
        <f>YEAR(tblData[@Join_Date])</f>
        <v>0</v>
      </c>
      <c r="AB2" cm="1">
        <f t="array" ref="AB2">_xlfn.XLOOKUP(tblData[@Department],Dept!A:A,Dept!B:B,"N/A")</f>
        <v>0</v>
      </c>
      <c r="AC2" cm="1">
        <f t="array" ref="AC2">_xlfn.XLOOKUP(tblData[@Region],Region!A:A,Region!B:B,"N/A")</f>
        <v>0</v>
      </c>
      <c r="AD2">
        <f>UPPER(tblData[@Name])</f>
        <v>0</v>
      </c>
      <c r="AE2">
        <f>[@Total_Sales]-tblData[@Target]</f>
        <v>0</v>
      </c>
      <c r="AF2">
        <f>IFERROR(VALUE(MID(tblData[@Code],4,3)),"ERR")</f>
        <v>0</v>
      </c>
    </row>
    <row r="3" spans="1:32">
      <c r="A3" t="s">
        <v>23</v>
      </c>
      <c r="B3" t="s">
        <v>63</v>
      </c>
      <c r="C3" t="s">
        <v>97</v>
      </c>
      <c r="D3" t="s">
        <v>103</v>
      </c>
      <c r="E3" t="s">
        <v>108</v>
      </c>
      <c r="F3" s="2">
        <v>44600</v>
      </c>
      <c r="G3">
        <v>21953367</v>
      </c>
      <c r="H3">
        <v>4752652</v>
      </c>
      <c r="I3">
        <v>157</v>
      </c>
      <c r="J3">
        <v>0</v>
      </c>
      <c r="K3">
        <v>294061375</v>
      </c>
      <c r="L3">
        <v>300845460</v>
      </c>
      <c r="M3">
        <v>282968651</v>
      </c>
      <c r="N3">
        <v>156328085</v>
      </c>
      <c r="O3">
        <v>180349564</v>
      </c>
      <c r="P3" t="b">
        <v>1</v>
      </c>
      <c r="Q3" t="s">
        <v>26</v>
      </c>
      <c r="R3" t="s">
        <v>146</v>
      </c>
      <c r="S3" t="s">
        <v>186</v>
      </c>
      <c r="T3" t="s">
        <v>192</v>
      </c>
      <c r="U3" t="s">
        <v>232</v>
      </c>
      <c r="V3" t="s">
        <v>271</v>
      </c>
      <c r="W3">
        <f>SUM(tblData[@Sales_Q1]:tblData[@Sales_Q4])</f>
        <v>0</v>
      </c>
      <c r="X3" s="1">
        <f>IF(tblData[@Target]=0,0, SUM(tblData[@Sales_Q1]:tblData[@Sales_Q4])/tblData[@Target])</f>
        <v>0</v>
      </c>
      <c r="Y3">
        <f>IF([@[Achieved_%]]&gt;=1,"Yes","No")</f>
        <v>0</v>
      </c>
      <c r="Z3">
        <f>RIGHT(tblData[@Email],LEN(tblData[@Email])-FIND("@",tblData[@Email]))</f>
        <v>0</v>
      </c>
      <c r="AA3">
        <f>YEAR(tblData[@Join_Date])</f>
        <v>0</v>
      </c>
      <c r="AB3" cm="1">
        <f t="array" ref="AB3">_xlfn.XLOOKUP(tblData[@Department],Dept!A:A,Dept!B:B,"N/A")</f>
        <v>0</v>
      </c>
      <c r="AC3" cm="1">
        <f t="array" ref="AC3">_xlfn.XLOOKUP(tblData[@Region],Region!A:A,Region!B:B,"N/A")</f>
        <v>0</v>
      </c>
      <c r="AD3">
        <f>UPPER(tblData[@Name])</f>
        <v>0</v>
      </c>
      <c r="AE3">
        <f>[@Total_Sales]-tblData[@Target]</f>
        <v>0</v>
      </c>
      <c r="AF3">
        <f>IFERROR(VALUE(MID(tblData[@Code],4,3)),"ERR")</f>
        <v>0</v>
      </c>
    </row>
    <row r="4" spans="1:32">
      <c r="A4" t="s">
        <v>24</v>
      </c>
      <c r="B4" t="s">
        <v>64</v>
      </c>
      <c r="C4" t="s">
        <v>96</v>
      </c>
      <c r="D4" t="s">
        <v>104</v>
      </c>
      <c r="E4" t="s">
        <v>109</v>
      </c>
      <c r="F4" s="2">
        <v>44578</v>
      </c>
      <c r="G4">
        <v>39943512</v>
      </c>
      <c r="H4">
        <v>4323718</v>
      </c>
      <c r="I4">
        <v>188.9</v>
      </c>
      <c r="J4">
        <v>12.90000000000001</v>
      </c>
      <c r="K4">
        <v>112250665</v>
      </c>
      <c r="L4">
        <v>250427519</v>
      </c>
      <c r="M4">
        <v>231009883</v>
      </c>
      <c r="N4">
        <v>398192957</v>
      </c>
      <c r="O4">
        <v>539151677</v>
      </c>
      <c r="P4" t="b">
        <v>1</v>
      </c>
      <c r="Q4" t="s">
        <v>24</v>
      </c>
      <c r="R4" t="s">
        <v>147</v>
      </c>
      <c r="S4" t="s">
        <v>186</v>
      </c>
      <c r="T4" t="s">
        <v>193</v>
      </c>
      <c r="U4" t="s">
        <v>233</v>
      </c>
      <c r="V4" t="s">
        <v>272</v>
      </c>
      <c r="W4">
        <f>SUM(tblData[@Sales_Q1]:tblData[@Sales_Q4])</f>
        <v>0</v>
      </c>
      <c r="X4" s="1">
        <f>IF(tblData[@Target]=0,0, SUM(tblData[@Sales_Q1]:tblData[@Sales_Q4])/tblData[@Target])</f>
        <v>0</v>
      </c>
      <c r="Y4">
        <f>IF([@[Achieved_%]]&gt;=1,"Yes","No")</f>
        <v>0</v>
      </c>
      <c r="Z4">
        <f>RIGHT(tblData[@Email],LEN(tblData[@Email])-FIND("@",tblData[@Email]))</f>
        <v>0</v>
      </c>
      <c r="AA4">
        <f>YEAR(tblData[@Join_Date])</f>
        <v>0</v>
      </c>
      <c r="AB4" cm="1">
        <f t="array" ref="AB4">_xlfn.XLOOKUP(tblData[@Department],Dept!A:A,Dept!B:B,"N/A")</f>
        <v>0</v>
      </c>
      <c r="AC4" cm="1">
        <f t="array" ref="AC4">_xlfn.XLOOKUP(tblData[@Region],Region!A:A,Region!B:B,"N/A")</f>
        <v>0</v>
      </c>
      <c r="AD4">
        <f>UPPER(tblData[@Name])</f>
        <v>0</v>
      </c>
      <c r="AE4">
        <f>[@Total_Sales]-tblData[@Target]</f>
        <v>0</v>
      </c>
      <c r="AF4">
        <f>IFERROR(VALUE(MID(tblData[@Code],4,3)),"ERR")</f>
        <v>0</v>
      </c>
    </row>
    <row r="5" spans="1:32">
      <c r="A5" t="s">
        <v>25</v>
      </c>
      <c r="B5" t="s">
        <v>65</v>
      </c>
      <c r="C5" t="s">
        <v>97</v>
      </c>
      <c r="D5" t="s">
        <v>104</v>
      </c>
      <c r="E5" t="s">
        <v>110</v>
      </c>
      <c r="F5" s="2">
        <v>44517</v>
      </c>
      <c r="G5">
        <v>46702013</v>
      </c>
      <c r="H5">
        <v>4200134</v>
      </c>
      <c r="I5">
        <v>181.1</v>
      </c>
      <c r="J5">
        <v>5.099999999999994</v>
      </c>
      <c r="K5">
        <v>249502978</v>
      </c>
      <c r="L5">
        <v>287544070</v>
      </c>
      <c r="M5">
        <v>245524628</v>
      </c>
      <c r="N5">
        <v>374266824</v>
      </c>
      <c r="O5">
        <v>429394470</v>
      </c>
      <c r="P5" t="b">
        <v>1</v>
      </c>
      <c r="R5" t="s">
        <v>148</v>
      </c>
      <c r="S5" t="s">
        <v>187</v>
      </c>
      <c r="T5" t="s">
        <v>194</v>
      </c>
      <c r="U5" t="s">
        <v>234</v>
      </c>
      <c r="V5" t="s">
        <v>273</v>
      </c>
      <c r="W5">
        <f>SUM(tblData[@Sales_Q1]:tblData[@Sales_Q4])</f>
        <v>0</v>
      </c>
      <c r="X5" s="1">
        <f>IF(tblData[@Target]=0,0, SUM(tblData[@Sales_Q1]:tblData[@Sales_Q4])/tblData[@Target])</f>
        <v>0</v>
      </c>
      <c r="Y5">
        <f>IF([@[Achieved_%]]&gt;=1,"Yes","No")</f>
        <v>0</v>
      </c>
      <c r="Z5">
        <f>RIGHT(tblData[@Email],LEN(tblData[@Email])-FIND("@",tblData[@Email]))</f>
        <v>0</v>
      </c>
      <c r="AA5">
        <f>YEAR(tblData[@Join_Date])</f>
        <v>0</v>
      </c>
      <c r="AB5" cm="1">
        <f t="array" ref="AB5">_xlfn.XLOOKUP(tblData[@Department],Dept!A:A,Dept!B:B,"N/A")</f>
        <v>0</v>
      </c>
      <c r="AC5" cm="1">
        <f t="array" ref="AC5">_xlfn.XLOOKUP(tblData[@Region],Region!A:A,Region!B:B,"N/A")</f>
        <v>0</v>
      </c>
      <c r="AD5">
        <f>UPPER(tblData[@Name])</f>
        <v>0</v>
      </c>
      <c r="AE5">
        <f>[@Total_Sales]-tblData[@Target]</f>
        <v>0</v>
      </c>
      <c r="AF5">
        <f>IFERROR(VALUE(MID(tblData[@Code],4,3)),"ERR")</f>
        <v>0</v>
      </c>
    </row>
    <row r="6" spans="1:32">
      <c r="A6" t="s">
        <v>26</v>
      </c>
      <c r="B6" t="s">
        <v>66</v>
      </c>
      <c r="C6" t="s">
        <v>96</v>
      </c>
      <c r="D6" t="s">
        <v>105</v>
      </c>
      <c r="E6" t="s">
        <v>111</v>
      </c>
      <c r="F6" s="2">
        <v>45128</v>
      </c>
      <c r="G6">
        <v>28193880</v>
      </c>
      <c r="H6">
        <v>6854676</v>
      </c>
      <c r="I6">
        <v>204.7</v>
      </c>
      <c r="J6">
        <v>28.69999999999999</v>
      </c>
      <c r="K6">
        <v>284564360</v>
      </c>
      <c r="L6">
        <v>118574553</v>
      </c>
      <c r="M6">
        <v>304403923</v>
      </c>
      <c r="N6">
        <v>329827822</v>
      </c>
      <c r="O6">
        <v>937110843</v>
      </c>
      <c r="P6" t="b">
        <v>1</v>
      </c>
      <c r="Q6" t="s">
        <v>22</v>
      </c>
      <c r="R6" t="s">
        <v>149</v>
      </c>
      <c r="S6" t="s">
        <v>185</v>
      </c>
      <c r="T6" t="s">
        <v>195</v>
      </c>
      <c r="U6" t="s">
        <v>235</v>
      </c>
      <c r="V6" t="s">
        <v>271</v>
      </c>
      <c r="W6">
        <f>SUM(tblData[@Sales_Q1]:tblData[@Sales_Q4])</f>
        <v>0</v>
      </c>
      <c r="X6" s="1">
        <f>IF(tblData[@Target]=0,0, SUM(tblData[@Sales_Q1]:tblData[@Sales_Q4])/tblData[@Target])</f>
        <v>0</v>
      </c>
      <c r="Y6">
        <f>IF([@[Achieved_%]]&gt;=1,"Yes","No")</f>
        <v>0</v>
      </c>
      <c r="Z6">
        <f>RIGHT(tblData[@Email],LEN(tblData[@Email])-FIND("@",tblData[@Email]))</f>
        <v>0</v>
      </c>
      <c r="AA6">
        <f>YEAR(tblData[@Join_Date])</f>
        <v>0</v>
      </c>
      <c r="AB6" cm="1">
        <f t="array" ref="AB6">_xlfn.XLOOKUP(tblData[@Department],Dept!A:A,Dept!B:B,"N/A")</f>
        <v>0</v>
      </c>
      <c r="AC6" cm="1">
        <f t="array" ref="AC6">_xlfn.XLOOKUP(tblData[@Region],Region!A:A,Region!B:B,"N/A")</f>
        <v>0</v>
      </c>
      <c r="AD6">
        <f>UPPER(tblData[@Name])</f>
        <v>0</v>
      </c>
      <c r="AE6">
        <f>[@Total_Sales]-tblData[@Target]</f>
        <v>0</v>
      </c>
      <c r="AF6">
        <f>IFERROR(VALUE(MID(tblData[@Code],4,3)),"ERR")</f>
        <v>0</v>
      </c>
    </row>
    <row r="7" spans="1:32">
      <c r="A7" t="s">
        <v>27</v>
      </c>
      <c r="B7" t="s">
        <v>67</v>
      </c>
      <c r="C7" t="s">
        <v>98</v>
      </c>
      <c r="D7" t="s">
        <v>102</v>
      </c>
      <c r="E7" t="s">
        <v>112</v>
      </c>
      <c r="F7" s="2">
        <v>45309</v>
      </c>
      <c r="G7">
        <v>10669995</v>
      </c>
      <c r="H7">
        <v>1590206</v>
      </c>
      <c r="I7">
        <v>142.8</v>
      </c>
      <c r="J7">
        <v>0</v>
      </c>
      <c r="K7">
        <v>197405005</v>
      </c>
      <c r="L7">
        <v>118979792</v>
      </c>
      <c r="M7">
        <v>87709731</v>
      </c>
      <c r="N7">
        <v>295827121</v>
      </c>
      <c r="O7">
        <v>848027879</v>
      </c>
      <c r="P7" t="b">
        <v>1</v>
      </c>
      <c r="Q7" t="s">
        <v>22</v>
      </c>
      <c r="R7" t="s">
        <v>150</v>
      </c>
      <c r="S7" t="s">
        <v>188</v>
      </c>
      <c r="T7" t="s">
        <v>196</v>
      </c>
      <c r="U7" t="s">
        <v>236</v>
      </c>
      <c r="V7" t="s">
        <v>271</v>
      </c>
      <c r="W7">
        <f>SUM(tblData[@Sales_Q1]:tblData[@Sales_Q4])</f>
        <v>0</v>
      </c>
      <c r="X7" s="1">
        <f>IF(tblData[@Target]=0,0, SUM(tblData[@Sales_Q1]:tblData[@Sales_Q4])/tblData[@Target])</f>
        <v>0</v>
      </c>
      <c r="Y7">
        <f>IF([@[Achieved_%]]&gt;=1,"Yes","No")</f>
        <v>0</v>
      </c>
      <c r="Z7">
        <f>RIGHT(tblData[@Email],LEN(tblData[@Email])-FIND("@",tblData[@Email]))</f>
        <v>0</v>
      </c>
      <c r="AA7">
        <f>YEAR(tblData[@Join_Date])</f>
        <v>0</v>
      </c>
      <c r="AB7" cm="1">
        <f t="array" ref="AB7">_xlfn.XLOOKUP(tblData[@Department],Dept!A:A,Dept!B:B,"N/A")</f>
        <v>0</v>
      </c>
      <c r="AC7" cm="1">
        <f t="array" ref="AC7">_xlfn.XLOOKUP(tblData[@Region],Region!A:A,Region!B:B,"N/A")</f>
        <v>0</v>
      </c>
      <c r="AD7">
        <f>UPPER(tblData[@Name])</f>
        <v>0</v>
      </c>
      <c r="AE7">
        <f>[@Total_Sales]-tblData[@Target]</f>
        <v>0</v>
      </c>
      <c r="AF7">
        <f>IFERROR(VALUE(MID(tblData[@Code],4,3)),"ERR")</f>
        <v>0</v>
      </c>
    </row>
    <row r="8" spans="1:32">
      <c r="A8" t="s">
        <v>28</v>
      </c>
      <c r="B8" t="s">
        <v>68</v>
      </c>
      <c r="C8" t="s">
        <v>99</v>
      </c>
      <c r="D8" t="s">
        <v>102</v>
      </c>
      <c r="E8" t="s">
        <v>113</v>
      </c>
      <c r="F8" s="2">
        <v>45242</v>
      </c>
      <c r="G8">
        <v>22091261</v>
      </c>
      <c r="H8">
        <v>3402354</v>
      </c>
      <c r="I8">
        <v>183.7</v>
      </c>
      <c r="J8">
        <v>7.699999999999989</v>
      </c>
      <c r="K8">
        <v>307072949</v>
      </c>
      <c r="L8">
        <v>184489564</v>
      </c>
      <c r="M8">
        <v>157944665</v>
      </c>
      <c r="N8">
        <v>371066539</v>
      </c>
      <c r="O8">
        <v>963891745</v>
      </c>
      <c r="P8" t="b">
        <v>1</v>
      </c>
      <c r="Q8" t="s">
        <v>22</v>
      </c>
      <c r="R8" t="s">
        <v>151</v>
      </c>
      <c r="S8" t="s">
        <v>186</v>
      </c>
      <c r="T8" t="s">
        <v>197</v>
      </c>
      <c r="U8" t="s">
        <v>237</v>
      </c>
      <c r="V8" t="s">
        <v>273</v>
      </c>
      <c r="W8">
        <f>SUM(tblData[@Sales_Q1]:tblData[@Sales_Q4])</f>
        <v>0</v>
      </c>
      <c r="X8" s="1">
        <f>IF(tblData[@Target]=0,0, SUM(tblData[@Sales_Q1]:tblData[@Sales_Q4])/tblData[@Target])</f>
        <v>0</v>
      </c>
      <c r="Y8">
        <f>IF([@[Achieved_%]]&gt;=1,"Yes","No")</f>
        <v>0</v>
      </c>
      <c r="Z8">
        <f>RIGHT(tblData[@Email],LEN(tblData[@Email])-FIND("@",tblData[@Email]))</f>
        <v>0</v>
      </c>
      <c r="AA8">
        <f>YEAR(tblData[@Join_Date])</f>
        <v>0</v>
      </c>
      <c r="AB8" cm="1">
        <f t="array" ref="AB8">_xlfn.XLOOKUP(tblData[@Department],Dept!A:A,Dept!B:B,"N/A")</f>
        <v>0</v>
      </c>
      <c r="AC8" cm="1">
        <f t="array" ref="AC8">_xlfn.XLOOKUP(tblData[@Region],Region!A:A,Region!B:B,"N/A")</f>
        <v>0</v>
      </c>
      <c r="AD8">
        <f>UPPER(tblData[@Name])</f>
        <v>0</v>
      </c>
      <c r="AE8">
        <f>[@Total_Sales]-tblData[@Target]</f>
        <v>0</v>
      </c>
      <c r="AF8">
        <f>IFERROR(VALUE(MID(tblData[@Code],4,3)),"ERR")</f>
        <v>0</v>
      </c>
    </row>
    <row r="9" spans="1:32">
      <c r="A9" t="s">
        <v>29</v>
      </c>
      <c r="B9" t="s">
        <v>69</v>
      </c>
      <c r="C9" t="s">
        <v>100</v>
      </c>
      <c r="D9" t="s">
        <v>102</v>
      </c>
      <c r="E9" t="s">
        <v>114</v>
      </c>
      <c r="F9" s="2">
        <v>44032</v>
      </c>
      <c r="G9">
        <v>26048957</v>
      </c>
      <c r="H9">
        <v>6130147</v>
      </c>
      <c r="I9">
        <v>198.2</v>
      </c>
      <c r="J9">
        <v>22.19999999999999</v>
      </c>
      <c r="K9">
        <v>378740110</v>
      </c>
      <c r="L9">
        <v>352554573</v>
      </c>
      <c r="M9">
        <v>354869078</v>
      </c>
      <c r="N9">
        <v>139482491</v>
      </c>
      <c r="O9">
        <v>344249720</v>
      </c>
      <c r="P9" t="b">
        <v>0</v>
      </c>
      <c r="Q9" t="s">
        <v>25</v>
      </c>
      <c r="R9" t="s">
        <v>152</v>
      </c>
      <c r="S9" t="s">
        <v>189</v>
      </c>
      <c r="T9" t="s">
        <v>198</v>
      </c>
      <c r="U9" t="s">
        <v>238</v>
      </c>
      <c r="V9" t="s">
        <v>271</v>
      </c>
      <c r="W9">
        <f>SUM(tblData[@Sales_Q1]:tblData[@Sales_Q4])</f>
        <v>0</v>
      </c>
      <c r="X9" s="1">
        <f>IF(tblData[@Target]=0,0, SUM(tblData[@Sales_Q1]:tblData[@Sales_Q4])/tblData[@Target])</f>
        <v>0</v>
      </c>
      <c r="Y9">
        <f>IF([@[Achieved_%]]&gt;=1,"Yes","No")</f>
        <v>0</v>
      </c>
      <c r="Z9">
        <f>RIGHT(tblData[@Email],LEN(tblData[@Email])-FIND("@",tblData[@Email]))</f>
        <v>0</v>
      </c>
      <c r="AA9">
        <f>YEAR(tblData[@Join_Date])</f>
        <v>0</v>
      </c>
      <c r="AB9" cm="1">
        <f t="array" ref="AB9">_xlfn.XLOOKUP(tblData[@Department],Dept!A:A,Dept!B:B,"N/A")</f>
        <v>0</v>
      </c>
      <c r="AC9" cm="1">
        <f t="array" ref="AC9">_xlfn.XLOOKUP(tblData[@Region],Region!A:A,Region!B:B,"N/A")</f>
        <v>0</v>
      </c>
      <c r="AD9">
        <f>UPPER(tblData[@Name])</f>
        <v>0</v>
      </c>
      <c r="AE9">
        <f>[@Total_Sales]-tblData[@Target]</f>
        <v>0</v>
      </c>
      <c r="AF9">
        <f>IFERROR(VALUE(MID(tblData[@Code],4,3)),"ERR")</f>
        <v>0</v>
      </c>
    </row>
    <row r="10" spans="1:32">
      <c r="A10" t="s">
        <v>30</v>
      </c>
      <c r="B10" t="s">
        <v>70</v>
      </c>
      <c r="C10" t="s">
        <v>96</v>
      </c>
      <c r="D10" t="s">
        <v>106</v>
      </c>
      <c r="E10" t="s">
        <v>115</v>
      </c>
      <c r="F10" s="2">
        <v>45556</v>
      </c>
      <c r="G10">
        <v>11366612</v>
      </c>
      <c r="H10">
        <v>1451919</v>
      </c>
      <c r="I10">
        <v>161.7</v>
      </c>
      <c r="J10">
        <v>0</v>
      </c>
      <c r="K10">
        <v>388175028</v>
      </c>
      <c r="L10">
        <v>182862715</v>
      </c>
      <c r="M10">
        <v>233378299</v>
      </c>
      <c r="N10">
        <v>161665644</v>
      </c>
      <c r="O10">
        <v>755264936</v>
      </c>
      <c r="P10" t="b">
        <v>0</v>
      </c>
      <c r="Q10" t="s">
        <v>23</v>
      </c>
      <c r="R10" t="s">
        <v>153</v>
      </c>
      <c r="S10" t="s">
        <v>190</v>
      </c>
      <c r="T10" t="s">
        <v>199</v>
      </c>
      <c r="U10" t="s">
        <v>239</v>
      </c>
      <c r="V10" t="s">
        <v>272</v>
      </c>
      <c r="W10">
        <f>SUM(tblData[@Sales_Q1]:tblData[@Sales_Q4])</f>
        <v>0</v>
      </c>
      <c r="X10" s="1">
        <f>IF(tblData[@Target]=0,0, SUM(tblData[@Sales_Q1]:tblData[@Sales_Q4])/tblData[@Target])</f>
        <v>0</v>
      </c>
      <c r="Y10">
        <f>IF([@[Achieved_%]]&gt;=1,"Yes","No")</f>
        <v>0</v>
      </c>
      <c r="Z10">
        <f>RIGHT(tblData[@Email],LEN(tblData[@Email])-FIND("@",tblData[@Email]))</f>
        <v>0</v>
      </c>
      <c r="AA10">
        <f>YEAR(tblData[@Join_Date])</f>
        <v>0</v>
      </c>
      <c r="AB10" cm="1">
        <f t="array" ref="AB10">_xlfn.XLOOKUP(tblData[@Department],Dept!A:A,Dept!B:B,"N/A")</f>
        <v>0</v>
      </c>
      <c r="AC10" cm="1">
        <f t="array" ref="AC10">_xlfn.XLOOKUP(tblData[@Region],Region!A:A,Region!B:B,"N/A")</f>
        <v>0</v>
      </c>
      <c r="AD10">
        <f>UPPER(tblData[@Name])</f>
        <v>0</v>
      </c>
      <c r="AE10">
        <f>[@Total_Sales]-tblData[@Target]</f>
        <v>0</v>
      </c>
      <c r="AF10">
        <f>IFERROR(VALUE(MID(tblData[@Code],4,3)),"ERR")</f>
        <v>0</v>
      </c>
    </row>
    <row r="11" spans="1:32">
      <c r="A11" t="s">
        <v>31</v>
      </c>
      <c r="B11" t="s">
        <v>71</v>
      </c>
      <c r="C11" t="s">
        <v>96</v>
      </c>
      <c r="D11" t="s">
        <v>104</v>
      </c>
      <c r="E11" t="s">
        <v>116</v>
      </c>
      <c r="F11" s="2">
        <v>45011</v>
      </c>
      <c r="G11">
        <v>30857742</v>
      </c>
      <c r="H11">
        <v>2562840</v>
      </c>
      <c r="I11">
        <v>141.3</v>
      </c>
      <c r="J11">
        <v>0</v>
      </c>
      <c r="K11">
        <v>257882760</v>
      </c>
      <c r="L11">
        <v>145540567</v>
      </c>
      <c r="M11">
        <v>135390464</v>
      </c>
      <c r="N11">
        <v>366606443</v>
      </c>
      <c r="O11">
        <v>336780295</v>
      </c>
      <c r="P11" t="b">
        <v>1</v>
      </c>
      <c r="Q11" t="s">
        <v>26</v>
      </c>
      <c r="R11" t="s">
        <v>154</v>
      </c>
      <c r="S11" t="s">
        <v>190</v>
      </c>
      <c r="T11" t="s">
        <v>200</v>
      </c>
      <c r="U11" t="s">
        <v>240</v>
      </c>
      <c r="V11" t="s">
        <v>273</v>
      </c>
      <c r="W11">
        <f>SUM(tblData[@Sales_Q1]:tblData[@Sales_Q4])</f>
        <v>0</v>
      </c>
      <c r="X11" s="1">
        <f>IF(tblData[@Target]=0,0, SUM(tblData[@Sales_Q1]:tblData[@Sales_Q4])/tblData[@Target])</f>
        <v>0</v>
      </c>
      <c r="Y11">
        <f>IF([@[Achieved_%]]&gt;=1,"Yes","No")</f>
        <v>0</v>
      </c>
      <c r="Z11">
        <f>RIGHT(tblData[@Email],LEN(tblData[@Email])-FIND("@",tblData[@Email]))</f>
        <v>0</v>
      </c>
      <c r="AA11">
        <f>YEAR(tblData[@Join_Date])</f>
        <v>0</v>
      </c>
      <c r="AB11" cm="1">
        <f t="array" ref="AB11">_xlfn.XLOOKUP(tblData[@Department],Dept!A:A,Dept!B:B,"N/A")</f>
        <v>0</v>
      </c>
      <c r="AC11" cm="1">
        <f t="array" ref="AC11">_xlfn.XLOOKUP(tblData[@Region],Region!A:A,Region!B:B,"N/A")</f>
        <v>0</v>
      </c>
      <c r="AD11">
        <f>UPPER(tblData[@Name])</f>
        <v>0</v>
      </c>
      <c r="AE11">
        <f>[@Total_Sales]-tblData[@Target]</f>
        <v>0</v>
      </c>
      <c r="AF11">
        <f>IFERROR(VALUE(MID(tblData[@Code],4,3)),"ERR")</f>
        <v>0</v>
      </c>
    </row>
    <row r="12" spans="1:32">
      <c r="A12" t="s">
        <v>32</v>
      </c>
      <c r="B12" t="s">
        <v>72</v>
      </c>
      <c r="C12" t="s">
        <v>96</v>
      </c>
      <c r="D12" t="s">
        <v>102</v>
      </c>
      <c r="E12" t="s">
        <v>117</v>
      </c>
      <c r="F12" s="2">
        <v>45326</v>
      </c>
      <c r="G12">
        <v>20719242</v>
      </c>
      <c r="H12">
        <v>1859934</v>
      </c>
      <c r="I12">
        <v>196.9</v>
      </c>
      <c r="J12">
        <v>20.90000000000001</v>
      </c>
      <c r="K12">
        <v>222552610</v>
      </c>
      <c r="L12">
        <v>141355424</v>
      </c>
      <c r="M12">
        <v>368019332</v>
      </c>
      <c r="N12">
        <v>270335593</v>
      </c>
      <c r="O12">
        <v>615856742</v>
      </c>
      <c r="P12" t="b">
        <v>1</v>
      </c>
      <c r="Q12" t="s">
        <v>25</v>
      </c>
      <c r="R12" t="s">
        <v>155</v>
      </c>
      <c r="S12" t="s">
        <v>187</v>
      </c>
      <c r="T12" t="s">
        <v>201</v>
      </c>
      <c r="U12" t="s">
        <v>241</v>
      </c>
      <c r="V12" t="s">
        <v>271</v>
      </c>
      <c r="W12">
        <f>SUM(tblData[@Sales_Q1]:tblData[@Sales_Q4])</f>
        <v>0</v>
      </c>
      <c r="X12" s="1">
        <f>IF(tblData[@Target]=0,0, SUM(tblData[@Sales_Q1]:tblData[@Sales_Q4])/tblData[@Target])</f>
        <v>0</v>
      </c>
      <c r="Y12">
        <f>IF([@[Achieved_%]]&gt;=1,"Yes","No")</f>
        <v>0</v>
      </c>
      <c r="Z12">
        <f>RIGHT(tblData[@Email],LEN(tblData[@Email])-FIND("@",tblData[@Email]))</f>
        <v>0</v>
      </c>
      <c r="AA12">
        <f>YEAR(tblData[@Join_Date])</f>
        <v>0</v>
      </c>
      <c r="AB12" cm="1">
        <f t="array" ref="AB12">_xlfn.XLOOKUP(tblData[@Department],Dept!A:A,Dept!B:B,"N/A")</f>
        <v>0</v>
      </c>
      <c r="AC12" cm="1">
        <f t="array" ref="AC12">_xlfn.XLOOKUP(tblData[@Region],Region!A:A,Region!B:B,"N/A")</f>
        <v>0</v>
      </c>
      <c r="AD12">
        <f>UPPER(tblData[@Name])</f>
        <v>0</v>
      </c>
      <c r="AE12">
        <f>[@Total_Sales]-tblData[@Target]</f>
        <v>0</v>
      </c>
      <c r="AF12">
        <f>IFERROR(VALUE(MID(tblData[@Code],4,3)),"ERR")</f>
        <v>0</v>
      </c>
    </row>
    <row r="13" spans="1:32">
      <c r="A13" t="s">
        <v>33</v>
      </c>
      <c r="B13" t="s">
        <v>73</v>
      </c>
      <c r="C13" t="s">
        <v>96</v>
      </c>
      <c r="D13" t="s">
        <v>106</v>
      </c>
      <c r="E13" t="s">
        <v>118</v>
      </c>
      <c r="F13" s="2">
        <v>44848</v>
      </c>
      <c r="G13">
        <v>35891752</v>
      </c>
      <c r="H13">
        <v>8362488</v>
      </c>
      <c r="I13">
        <v>208</v>
      </c>
      <c r="J13">
        <v>32</v>
      </c>
      <c r="K13">
        <v>369763211</v>
      </c>
      <c r="L13">
        <v>397454369</v>
      </c>
      <c r="M13">
        <v>322981039</v>
      </c>
      <c r="N13">
        <v>311917078</v>
      </c>
      <c r="O13">
        <v>875167677</v>
      </c>
      <c r="P13" t="b">
        <v>1</v>
      </c>
      <c r="Q13" t="s">
        <v>23</v>
      </c>
      <c r="R13" t="s">
        <v>156</v>
      </c>
      <c r="S13" t="s">
        <v>186</v>
      </c>
      <c r="T13" t="s">
        <v>202</v>
      </c>
      <c r="U13" t="s">
        <v>242</v>
      </c>
      <c r="V13" t="s">
        <v>273</v>
      </c>
      <c r="W13">
        <f>SUM(tblData[@Sales_Q1]:tblData[@Sales_Q4])</f>
        <v>0</v>
      </c>
      <c r="X13" s="1">
        <f>IF(tblData[@Target]=0,0, SUM(tblData[@Sales_Q1]:tblData[@Sales_Q4])/tblData[@Target])</f>
        <v>0</v>
      </c>
      <c r="Y13">
        <f>IF([@[Achieved_%]]&gt;=1,"Yes","No")</f>
        <v>0</v>
      </c>
      <c r="Z13">
        <f>RIGHT(tblData[@Email],LEN(tblData[@Email])-FIND("@",tblData[@Email]))</f>
        <v>0</v>
      </c>
      <c r="AA13">
        <f>YEAR(tblData[@Join_Date])</f>
        <v>0</v>
      </c>
      <c r="AB13" cm="1">
        <f t="array" ref="AB13">_xlfn.XLOOKUP(tblData[@Department],Dept!A:A,Dept!B:B,"N/A")</f>
        <v>0</v>
      </c>
      <c r="AC13" cm="1">
        <f t="array" ref="AC13">_xlfn.XLOOKUP(tblData[@Region],Region!A:A,Region!B:B,"N/A")</f>
        <v>0</v>
      </c>
      <c r="AD13">
        <f>UPPER(tblData[@Name])</f>
        <v>0</v>
      </c>
      <c r="AE13">
        <f>[@Total_Sales]-tblData[@Target]</f>
        <v>0</v>
      </c>
      <c r="AF13">
        <f>IFERROR(VALUE(MID(tblData[@Code],4,3)),"ERR")</f>
        <v>0</v>
      </c>
    </row>
    <row r="14" spans="1:32">
      <c r="A14" t="s">
        <v>34</v>
      </c>
      <c r="B14" t="s">
        <v>74</v>
      </c>
      <c r="C14" t="s">
        <v>97</v>
      </c>
      <c r="D14" t="s">
        <v>102</v>
      </c>
      <c r="E14" t="s">
        <v>119</v>
      </c>
      <c r="F14" s="2">
        <v>45582</v>
      </c>
      <c r="G14">
        <v>49542436</v>
      </c>
      <c r="H14">
        <v>9706415</v>
      </c>
      <c r="I14">
        <v>191</v>
      </c>
      <c r="J14">
        <v>15</v>
      </c>
      <c r="K14">
        <v>102453338</v>
      </c>
      <c r="L14">
        <v>313038498</v>
      </c>
      <c r="M14">
        <v>84045666</v>
      </c>
      <c r="N14">
        <v>96321408</v>
      </c>
      <c r="O14">
        <v>413183577</v>
      </c>
      <c r="P14" t="b">
        <v>1</v>
      </c>
      <c r="Q14" t="s">
        <v>26</v>
      </c>
      <c r="R14" t="s">
        <v>157</v>
      </c>
      <c r="S14" t="s">
        <v>187</v>
      </c>
      <c r="T14" t="s">
        <v>203</v>
      </c>
      <c r="U14" t="s">
        <v>243</v>
      </c>
      <c r="V14" t="s">
        <v>272</v>
      </c>
      <c r="W14">
        <f>SUM(tblData[@Sales_Q1]:tblData[@Sales_Q4])</f>
        <v>0</v>
      </c>
      <c r="X14" s="1">
        <f>IF(tblData[@Target]=0,0, SUM(tblData[@Sales_Q1]:tblData[@Sales_Q4])/tblData[@Target])</f>
        <v>0</v>
      </c>
      <c r="Y14">
        <f>IF([@[Achieved_%]]&gt;=1,"Yes","No")</f>
        <v>0</v>
      </c>
      <c r="Z14">
        <f>RIGHT(tblData[@Email],LEN(tblData[@Email])-FIND("@",tblData[@Email]))</f>
        <v>0</v>
      </c>
      <c r="AA14">
        <f>YEAR(tblData[@Join_Date])</f>
        <v>0</v>
      </c>
      <c r="AB14" cm="1">
        <f t="array" ref="AB14">_xlfn.XLOOKUP(tblData[@Department],Dept!A:A,Dept!B:B,"N/A")</f>
        <v>0</v>
      </c>
      <c r="AC14" cm="1">
        <f t="array" ref="AC14">_xlfn.XLOOKUP(tblData[@Region],Region!A:A,Region!B:B,"N/A")</f>
        <v>0</v>
      </c>
      <c r="AD14">
        <f>UPPER(tblData[@Name])</f>
        <v>0</v>
      </c>
      <c r="AE14">
        <f>[@Total_Sales]-tblData[@Target]</f>
        <v>0</v>
      </c>
      <c r="AF14">
        <f>IFERROR(VALUE(MID(tblData[@Code],4,3)),"ERR")</f>
        <v>0</v>
      </c>
    </row>
    <row r="15" spans="1:32">
      <c r="A15" t="s">
        <v>35</v>
      </c>
      <c r="B15" t="s">
        <v>75</v>
      </c>
      <c r="C15" t="s">
        <v>96</v>
      </c>
      <c r="D15" t="s">
        <v>104</v>
      </c>
      <c r="E15" t="s">
        <v>120</v>
      </c>
      <c r="F15" s="2">
        <v>44333</v>
      </c>
      <c r="G15">
        <v>30944510</v>
      </c>
      <c r="H15">
        <v>3132007</v>
      </c>
      <c r="I15">
        <v>143.2</v>
      </c>
      <c r="J15">
        <v>0</v>
      </c>
      <c r="K15">
        <v>275661966</v>
      </c>
      <c r="L15">
        <v>159174313</v>
      </c>
      <c r="M15">
        <v>326323195</v>
      </c>
      <c r="N15">
        <v>379506482</v>
      </c>
      <c r="O15">
        <v>284987326</v>
      </c>
      <c r="P15" t="b">
        <v>1</v>
      </c>
      <c r="Q15" t="s">
        <v>26</v>
      </c>
      <c r="R15" t="s">
        <v>158</v>
      </c>
      <c r="S15" t="s">
        <v>186</v>
      </c>
      <c r="T15" t="s">
        <v>204</v>
      </c>
      <c r="U15" t="s">
        <v>244</v>
      </c>
      <c r="V15" t="s">
        <v>273</v>
      </c>
      <c r="W15">
        <f>SUM(tblData[@Sales_Q1]:tblData[@Sales_Q4])</f>
        <v>0</v>
      </c>
      <c r="X15" s="1">
        <f>IF(tblData[@Target]=0,0, SUM(tblData[@Sales_Q1]:tblData[@Sales_Q4])/tblData[@Target])</f>
        <v>0</v>
      </c>
      <c r="Y15">
        <f>IF([@[Achieved_%]]&gt;=1,"Yes","No")</f>
        <v>0</v>
      </c>
      <c r="Z15">
        <f>RIGHT(tblData[@Email],LEN(tblData[@Email])-FIND("@",tblData[@Email]))</f>
        <v>0</v>
      </c>
      <c r="AA15">
        <f>YEAR(tblData[@Join_Date])</f>
        <v>0</v>
      </c>
      <c r="AB15" cm="1">
        <f t="array" ref="AB15">_xlfn.XLOOKUP(tblData[@Department],Dept!A:A,Dept!B:B,"N/A")</f>
        <v>0</v>
      </c>
      <c r="AC15" cm="1">
        <f t="array" ref="AC15">_xlfn.XLOOKUP(tblData[@Region],Region!A:A,Region!B:B,"N/A")</f>
        <v>0</v>
      </c>
      <c r="AD15">
        <f>UPPER(tblData[@Name])</f>
        <v>0</v>
      </c>
      <c r="AE15">
        <f>[@Total_Sales]-tblData[@Target]</f>
        <v>0</v>
      </c>
      <c r="AF15">
        <f>IFERROR(VALUE(MID(tblData[@Code],4,3)),"ERR")</f>
        <v>0</v>
      </c>
    </row>
    <row r="16" spans="1:32">
      <c r="A16" t="s">
        <v>36</v>
      </c>
      <c r="B16" t="s">
        <v>76</v>
      </c>
      <c r="C16" t="s">
        <v>99</v>
      </c>
      <c r="D16" t="s">
        <v>106</v>
      </c>
      <c r="E16" t="s">
        <v>121</v>
      </c>
      <c r="F16" s="2">
        <v>44694</v>
      </c>
      <c r="G16">
        <v>36433648</v>
      </c>
      <c r="H16">
        <v>4112309</v>
      </c>
      <c r="I16">
        <v>180.7</v>
      </c>
      <c r="J16">
        <v>4.699999999999989</v>
      </c>
      <c r="K16">
        <v>189871965</v>
      </c>
      <c r="L16">
        <v>111553124</v>
      </c>
      <c r="M16">
        <v>201968492</v>
      </c>
      <c r="N16">
        <v>221116174</v>
      </c>
      <c r="O16">
        <v>173841962</v>
      </c>
      <c r="P16" t="b">
        <v>1</v>
      </c>
      <c r="Q16" t="s">
        <v>22</v>
      </c>
      <c r="R16" t="s">
        <v>159</v>
      </c>
      <c r="S16" t="s">
        <v>188</v>
      </c>
      <c r="T16" t="s">
        <v>205</v>
      </c>
      <c r="U16" t="s">
        <v>245</v>
      </c>
      <c r="V16" t="s">
        <v>272</v>
      </c>
      <c r="W16">
        <f>SUM(tblData[@Sales_Q1]:tblData[@Sales_Q4])</f>
        <v>0</v>
      </c>
      <c r="X16" s="1">
        <f>IF(tblData[@Target]=0,0, SUM(tblData[@Sales_Q1]:tblData[@Sales_Q4])/tblData[@Target])</f>
        <v>0</v>
      </c>
      <c r="Y16">
        <f>IF([@[Achieved_%]]&gt;=1,"Yes","No")</f>
        <v>0</v>
      </c>
      <c r="Z16">
        <f>RIGHT(tblData[@Email],LEN(tblData[@Email])-FIND("@",tblData[@Email]))</f>
        <v>0</v>
      </c>
      <c r="AA16">
        <f>YEAR(tblData[@Join_Date])</f>
        <v>0</v>
      </c>
      <c r="AB16" cm="1">
        <f t="array" ref="AB16">_xlfn.XLOOKUP(tblData[@Department],Dept!A:A,Dept!B:B,"N/A")</f>
        <v>0</v>
      </c>
      <c r="AC16" cm="1">
        <f t="array" ref="AC16">_xlfn.XLOOKUP(tblData[@Region],Region!A:A,Region!B:B,"N/A")</f>
        <v>0</v>
      </c>
      <c r="AD16">
        <f>UPPER(tblData[@Name])</f>
        <v>0</v>
      </c>
      <c r="AE16">
        <f>[@Total_Sales]-tblData[@Target]</f>
        <v>0</v>
      </c>
      <c r="AF16">
        <f>IFERROR(VALUE(MID(tblData[@Code],4,3)),"ERR")</f>
        <v>0</v>
      </c>
    </row>
    <row r="17" spans="1:32">
      <c r="A17" t="s">
        <v>37</v>
      </c>
      <c r="B17" t="s">
        <v>77</v>
      </c>
      <c r="C17" t="s">
        <v>96</v>
      </c>
      <c r="D17" t="s">
        <v>105</v>
      </c>
      <c r="E17" t="s">
        <v>122</v>
      </c>
      <c r="F17" s="2">
        <v>44371</v>
      </c>
      <c r="G17">
        <v>30993420</v>
      </c>
      <c r="H17">
        <v>2026845</v>
      </c>
      <c r="I17">
        <v>163.2</v>
      </c>
      <c r="J17">
        <v>0</v>
      </c>
      <c r="K17">
        <v>205569237</v>
      </c>
      <c r="L17">
        <v>73484187</v>
      </c>
      <c r="M17">
        <v>284924609</v>
      </c>
      <c r="N17">
        <v>299625132</v>
      </c>
      <c r="O17">
        <v>345995197</v>
      </c>
      <c r="P17" t="b">
        <v>1</v>
      </c>
      <c r="R17" t="s">
        <v>160</v>
      </c>
      <c r="S17" t="s">
        <v>186</v>
      </c>
      <c r="T17" t="s">
        <v>206</v>
      </c>
      <c r="U17" t="s">
        <v>246</v>
      </c>
      <c r="V17" t="s">
        <v>271</v>
      </c>
      <c r="W17">
        <f>SUM(tblData[@Sales_Q1]:tblData[@Sales_Q4])</f>
        <v>0</v>
      </c>
      <c r="X17" s="1">
        <f>IF(tblData[@Target]=0,0, SUM(tblData[@Sales_Q1]:tblData[@Sales_Q4])/tblData[@Target])</f>
        <v>0</v>
      </c>
      <c r="Y17">
        <f>IF([@[Achieved_%]]&gt;=1,"Yes","No")</f>
        <v>0</v>
      </c>
      <c r="Z17">
        <f>RIGHT(tblData[@Email],LEN(tblData[@Email])-FIND("@",tblData[@Email]))</f>
        <v>0</v>
      </c>
      <c r="AA17">
        <f>YEAR(tblData[@Join_Date])</f>
        <v>0</v>
      </c>
      <c r="AB17" cm="1">
        <f t="array" ref="AB17">_xlfn.XLOOKUP(tblData[@Department],Dept!A:A,Dept!B:B,"N/A")</f>
        <v>0</v>
      </c>
      <c r="AC17" cm="1">
        <f t="array" ref="AC17">_xlfn.XLOOKUP(tblData[@Region],Region!A:A,Region!B:B,"N/A")</f>
        <v>0</v>
      </c>
      <c r="AD17">
        <f>UPPER(tblData[@Name])</f>
        <v>0</v>
      </c>
      <c r="AE17">
        <f>[@Total_Sales]-tblData[@Target]</f>
        <v>0</v>
      </c>
      <c r="AF17">
        <f>IFERROR(VALUE(MID(tblData[@Code],4,3)),"ERR")</f>
        <v>0</v>
      </c>
    </row>
    <row r="18" spans="1:32">
      <c r="A18" t="s">
        <v>38</v>
      </c>
      <c r="B18" t="s">
        <v>78</v>
      </c>
      <c r="C18" t="s">
        <v>100</v>
      </c>
      <c r="D18" t="s">
        <v>103</v>
      </c>
      <c r="E18" t="s">
        <v>123</v>
      </c>
      <c r="F18" s="2">
        <v>44843</v>
      </c>
      <c r="G18">
        <v>22643995</v>
      </c>
      <c r="H18">
        <v>4771869</v>
      </c>
      <c r="I18">
        <v>154.9</v>
      </c>
      <c r="J18">
        <v>0</v>
      </c>
      <c r="K18">
        <v>125415325</v>
      </c>
      <c r="L18">
        <v>85563453</v>
      </c>
      <c r="M18">
        <v>218973642</v>
      </c>
      <c r="N18">
        <v>369309439</v>
      </c>
      <c r="O18">
        <v>396703609</v>
      </c>
      <c r="P18" t="b">
        <v>0</v>
      </c>
      <c r="Q18" t="s">
        <v>25</v>
      </c>
      <c r="R18" t="s">
        <v>161</v>
      </c>
      <c r="S18" t="s">
        <v>189</v>
      </c>
      <c r="T18" t="s">
        <v>207</v>
      </c>
      <c r="U18" t="s">
        <v>247</v>
      </c>
      <c r="V18" t="s">
        <v>273</v>
      </c>
      <c r="W18">
        <f>SUM(tblData[@Sales_Q1]:tblData[@Sales_Q4])</f>
        <v>0</v>
      </c>
      <c r="X18" s="1">
        <f>IF(tblData[@Target]=0,0, SUM(tblData[@Sales_Q1]:tblData[@Sales_Q4])/tblData[@Target])</f>
        <v>0</v>
      </c>
      <c r="Y18">
        <f>IF([@[Achieved_%]]&gt;=1,"Yes","No")</f>
        <v>0</v>
      </c>
      <c r="Z18">
        <f>RIGHT(tblData[@Email],LEN(tblData[@Email])-FIND("@",tblData[@Email]))</f>
        <v>0</v>
      </c>
      <c r="AA18">
        <f>YEAR(tblData[@Join_Date])</f>
        <v>0</v>
      </c>
      <c r="AB18" cm="1">
        <f t="array" ref="AB18">_xlfn.XLOOKUP(tblData[@Department],Dept!A:A,Dept!B:B,"N/A")</f>
        <v>0</v>
      </c>
      <c r="AC18" cm="1">
        <f t="array" ref="AC18">_xlfn.XLOOKUP(tblData[@Region],Region!A:A,Region!B:B,"N/A")</f>
        <v>0</v>
      </c>
      <c r="AD18">
        <f>UPPER(tblData[@Name])</f>
        <v>0</v>
      </c>
      <c r="AE18">
        <f>[@Total_Sales]-tblData[@Target]</f>
        <v>0</v>
      </c>
      <c r="AF18">
        <f>IFERROR(VALUE(MID(tblData[@Code],4,3)),"ERR")</f>
        <v>0</v>
      </c>
    </row>
    <row r="19" spans="1:32">
      <c r="A19" t="s">
        <v>39</v>
      </c>
      <c r="B19" t="s">
        <v>76</v>
      </c>
      <c r="C19" t="s">
        <v>99</v>
      </c>
      <c r="D19" t="s">
        <v>104</v>
      </c>
      <c r="E19" t="s">
        <v>124</v>
      </c>
      <c r="F19" s="2">
        <v>45202</v>
      </c>
      <c r="G19">
        <v>31637222</v>
      </c>
      <c r="H19">
        <v>7319767</v>
      </c>
      <c r="I19">
        <v>161.8</v>
      </c>
      <c r="J19">
        <v>0</v>
      </c>
      <c r="K19">
        <v>147453338</v>
      </c>
      <c r="L19">
        <v>273801277</v>
      </c>
      <c r="M19">
        <v>52235000</v>
      </c>
      <c r="N19">
        <v>342121203</v>
      </c>
      <c r="O19">
        <v>590529868</v>
      </c>
      <c r="P19" t="b">
        <v>1</v>
      </c>
      <c r="Q19" t="s">
        <v>22</v>
      </c>
      <c r="R19" t="s">
        <v>162</v>
      </c>
      <c r="S19" t="s">
        <v>188</v>
      </c>
      <c r="T19" t="s">
        <v>208</v>
      </c>
      <c r="U19" t="s">
        <v>248</v>
      </c>
      <c r="V19" t="s">
        <v>272</v>
      </c>
      <c r="W19">
        <f>SUM(tblData[@Sales_Q1]:tblData[@Sales_Q4])</f>
        <v>0</v>
      </c>
      <c r="X19" s="1">
        <f>IF(tblData[@Target]=0,0, SUM(tblData[@Sales_Q1]:tblData[@Sales_Q4])/tblData[@Target])</f>
        <v>0</v>
      </c>
      <c r="Y19">
        <f>IF([@[Achieved_%]]&gt;=1,"Yes","No")</f>
        <v>0</v>
      </c>
      <c r="Z19">
        <f>RIGHT(tblData[@Email],LEN(tblData[@Email])-FIND("@",tblData[@Email]))</f>
        <v>0</v>
      </c>
      <c r="AA19">
        <f>YEAR(tblData[@Join_Date])</f>
        <v>0</v>
      </c>
      <c r="AB19" cm="1">
        <f t="array" ref="AB19">_xlfn.XLOOKUP(tblData[@Department],Dept!A:A,Dept!B:B,"N/A")</f>
        <v>0</v>
      </c>
      <c r="AC19" cm="1">
        <f t="array" ref="AC19">_xlfn.XLOOKUP(tblData[@Region],Region!A:A,Region!B:B,"N/A")</f>
        <v>0</v>
      </c>
      <c r="AD19">
        <f>UPPER(tblData[@Name])</f>
        <v>0</v>
      </c>
      <c r="AE19">
        <f>[@Total_Sales]-tblData[@Target]</f>
        <v>0</v>
      </c>
      <c r="AF19">
        <f>IFERROR(VALUE(MID(tblData[@Code],4,3)),"ERR")</f>
        <v>0</v>
      </c>
    </row>
    <row r="20" spans="1:32">
      <c r="A20" t="s">
        <v>40</v>
      </c>
      <c r="B20" t="s">
        <v>79</v>
      </c>
      <c r="C20" t="s">
        <v>100</v>
      </c>
      <c r="D20" t="s">
        <v>104</v>
      </c>
      <c r="E20" t="s">
        <v>125</v>
      </c>
      <c r="F20" s="2">
        <v>45599</v>
      </c>
      <c r="G20">
        <v>41957122</v>
      </c>
      <c r="H20">
        <v>2156194</v>
      </c>
      <c r="I20">
        <v>180.9</v>
      </c>
      <c r="J20">
        <v>4.900000000000006</v>
      </c>
      <c r="K20">
        <v>232153864</v>
      </c>
      <c r="L20">
        <v>339635552</v>
      </c>
      <c r="M20">
        <v>133375337</v>
      </c>
      <c r="N20">
        <v>341669966</v>
      </c>
      <c r="O20">
        <v>872804538</v>
      </c>
      <c r="P20" t="b">
        <v>0</v>
      </c>
      <c r="Q20" t="s">
        <v>25</v>
      </c>
      <c r="R20" t="s">
        <v>163</v>
      </c>
      <c r="S20" t="s">
        <v>190</v>
      </c>
      <c r="T20" t="s">
        <v>209</v>
      </c>
      <c r="U20" t="s">
        <v>249</v>
      </c>
      <c r="V20" t="s">
        <v>271</v>
      </c>
      <c r="W20">
        <f>SUM(tblData[@Sales_Q1]:tblData[@Sales_Q4])</f>
        <v>0</v>
      </c>
      <c r="X20" s="1">
        <f>IF(tblData[@Target]=0,0, SUM(tblData[@Sales_Q1]:tblData[@Sales_Q4])/tblData[@Target])</f>
        <v>0</v>
      </c>
      <c r="Y20">
        <f>IF([@[Achieved_%]]&gt;=1,"Yes","No")</f>
        <v>0</v>
      </c>
      <c r="Z20">
        <f>RIGHT(tblData[@Email],LEN(tblData[@Email])-FIND("@",tblData[@Email]))</f>
        <v>0</v>
      </c>
      <c r="AA20">
        <f>YEAR(tblData[@Join_Date])</f>
        <v>0</v>
      </c>
      <c r="AB20" cm="1">
        <f t="array" ref="AB20">_xlfn.XLOOKUP(tblData[@Department],Dept!A:A,Dept!B:B,"N/A")</f>
        <v>0</v>
      </c>
      <c r="AC20" cm="1">
        <f t="array" ref="AC20">_xlfn.XLOOKUP(tblData[@Region],Region!A:A,Region!B:B,"N/A")</f>
        <v>0</v>
      </c>
      <c r="AD20">
        <f>UPPER(tblData[@Name])</f>
        <v>0</v>
      </c>
      <c r="AE20">
        <f>[@Total_Sales]-tblData[@Target]</f>
        <v>0</v>
      </c>
      <c r="AF20">
        <f>IFERROR(VALUE(MID(tblData[@Code],4,3)),"ERR")</f>
        <v>0</v>
      </c>
    </row>
    <row r="21" spans="1:32">
      <c r="A21" t="s">
        <v>41</v>
      </c>
      <c r="B21" t="s">
        <v>63</v>
      </c>
      <c r="C21" t="s">
        <v>97</v>
      </c>
      <c r="D21" t="s">
        <v>103</v>
      </c>
      <c r="E21" t="s">
        <v>126</v>
      </c>
      <c r="F21" s="2">
        <v>45228</v>
      </c>
      <c r="G21">
        <v>8061087</v>
      </c>
      <c r="H21">
        <v>1239457</v>
      </c>
      <c r="I21">
        <v>196.2</v>
      </c>
      <c r="J21">
        <v>20.19999999999999</v>
      </c>
      <c r="K21">
        <v>328710077</v>
      </c>
      <c r="L21">
        <v>66816569</v>
      </c>
      <c r="M21">
        <v>57654909</v>
      </c>
      <c r="N21">
        <v>356249510</v>
      </c>
      <c r="O21">
        <v>368520688</v>
      </c>
      <c r="P21" t="b">
        <v>0</v>
      </c>
      <c r="Q21" t="s">
        <v>23</v>
      </c>
      <c r="R21" t="s">
        <v>164</v>
      </c>
      <c r="S21" t="s">
        <v>190</v>
      </c>
      <c r="T21" t="s">
        <v>210</v>
      </c>
      <c r="U21" t="s">
        <v>250</v>
      </c>
      <c r="V21" t="s">
        <v>271</v>
      </c>
      <c r="W21">
        <f>SUM(tblData[@Sales_Q1]:tblData[@Sales_Q4])</f>
        <v>0</v>
      </c>
      <c r="X21" s="1">
        <f>IF(tblData[@Target]=0,0, SUM(tblData[@Sales_Q1]:tblData[@Sales_Q4])/tblData[@Target])</f>
        <v>0</v>
      </c>
      <c r="Y21">
        <f>IF([@[Achieved_%]]&gt;=1,"Yes","No")</f>
        <v>0</v>
      </c>
      <c r="Z21">
        <f>RIGHT(tblData[@Email],LEN(tblData[@Email])-FIND("@",tblData[@Email]))</f>
        <v>0</v>
      </c>
      <c r="AA21">
        <f>YEAR(tblData[@Join_Date])</f>
        <v>0</v>
      </c>
      <c r="AB21" cm="1">
        <f t="array" ref="AB21">_xlfn.XLOOKUP(tblData[@Department],Dept!A:A,Dept!B:B,"N/A")</f>
        <v>0</v>
      </c>
      <c r="AC21" cm="1">
        <f t="array" ref="AC21">_xlfn.XLOOKUP(tblData[@Region],Region!A:A,Region!B:B,"N/A")</f>
        <v>0</v>
      </c>
      <c r="AD21">
        <f>UPPER(tblData[@Name])</f>
        <v>0</v>
      </c>
      <c r="AE21">
        <f>[@Total_Sales]-tblData[@Target]</f>
        <v>0</v>
      </c>
      <c r="AF21">
        <f>IFERROR(VALUE(MID(tblData[@Code],4,3)),"ERR")</f>
        <v>0</v>
      </c>
    </row>
    <row r="22" spans="1:32">
      <c r="A22" t="s">
        <v>42</v>
      </c>
      <c r="B22" t="s">
        <v>80</v>
      </c>
      <c r="C22" t="s">
        <v>99</v>
      </c>
      <c r="D22" t="s">
        <v>102</v>
      </c>
      <c r="E22" t="s">
        <v>127</v>
      </c>
      <c r="F22" s="2">
        <v>45467</v>
      </c>
      <c r="G22">
        <v>23421040</v>
      </c>
      <c r="H22">
        <v>5844675</v>
      </c>
      <c r="I22">
        <v>161.3</v>
      </c>
      <c r="J22">
        <v>0</v>
      </c>
      <c r="K22">
        <v>61506305</v>
      </c>
      <c r="L22">
        <v>204777819</v>
      </c>
      <c r="M22">
        <v>271099573</v>
      </c>
      <c r="N22">
        <v>191951830</v>
      </c>
      <c r="O22">
        <v>273035620</v>
      </c>
      <c r="P22" t="b">
        <v>0</v>
      </c>
      <c r="Q22" t="s">
        <v>24</v>
      </c>
      <c r="R22" t="s">
        <v>165</v>
      </c>
      <c r="S22" t="s">
        <v>186</v>
      </c>
      <c r="T22" t="s">
        <v>211</v>
      </c>
      <c r="U22" t="s">
        <v>251</v>
      </c>
      <c r="V22" t="s">
        <v>272</v>
      </c>
      <c r="W22">
        <f>SUM(tblData[@Sales_Q1]:tblData[@Sales_Q4])</f>
        <v>0</v>
      </c>
      <c r="X22" s="1">
        <f>IF(tblData[@Target]=0,0, SUM(tblData[@Sales_Q1]:tblData[@Sales_Q4])/tblData[@Target])</f>
        <v>0</v>
      </c>
      <c r="Y22">
        <f>IF([@[Achieved_%]]&gt;=1,"Yes","No")</f>
        <v>0</v>
      </c>
      <c r="Z22">
        <f>RIGHT(tblData[@Email],LEN(tblData[@Email])-FIND("@",tblData[@Email]))</f>
        <v>0</v>
      </c>
      <c r="AA22">
        <f>YEAR(tblData[@Join_Date])</f>
        <v>0</v>
      </c>
      <c r="AB22" cm="1">
        <f t="array" ref="AB22">_xlfn.XLOOKUP(tblData[@Department],Dept!A:A,Dept!B:B,"N/A")</f>
        <v>0</v>
      </c>
      <c r="AC22" cm="1">
        <f t="array" ref="AC22">_xlfn.XLOOKUP(tblData[@Region],Region!A:A,Region!B:B,"N/A")</f>
        <v>0</v>
      </c>
      <c r="AD22">
        <f>UPPER(tblData[@Name])</f>
        <v>0</v>
      </c>
      <c r="AE22">
        <f>[@Total_Sales]-tblData[@Target]</f>
        <v>0</v>
      </c>
      <c r="AF22">
        <f>IFERROR(VALUE(MID(tblData[@Code],4,3)),"ERR")</f>
        <v>0</v>
      </c>
    </row>
    <row r="23" spans="1:32">
      <c r="A23" t="s">
        <v>43</v>
      </c>
      <c r="B23" t="s">
        <v>81</v>
      </c>
      <c r="C23" t="s">
        <v>100</v>
      </c>
      <c r="D23" t="s">
        <v>104</v>
      </c>
      <c r="E23" t="s">
        <v>128</v>
      </c>
      <c r="F23" s="2">
        <v>45590</v>
      </c>
      <c r="G23">
        <v>16658144</v>
      </c>
      <c r="H23">
        <v>2946330</v>
      </c>
      <c r="I23">
        <v>194.5</v>
      </c>
      <c r="J23">
        <v>18.5</v>
      </c>
      <c r="K23">
        <v>182863028</v>
      </c>
      <c r="L23">
        <v>362601305</v>
      </c>
      <c r="M23">
        <v>277174085</v>
      </c>
      <c r="N23">
        <v>252445635</v>
      </c>
      <c r="O23">
        <v>497262390</v>
      </c>
      <c r="P23" t="b">
        <v>1</v>
      </c>
      <c r="Q23" t="s">
        <v>26</v>
      </c>
      <c r="R23" t="s">
        <v>166</v>
      </c>
      <c r="S23" t="s">
        <v>190</v>
      </c>
      <c r="T23" t="s">
        <v>212</v>
      </c>
      <c r="U23" t="s">
        <v>252</v>
      </c>
      <c r="V23" t="s">
        <v>273</v>
      </c>
      <c r="W23">
        <f>SUM(tblData[@Sales_Q1]:tblData[@Sales_Q4])</f>
        <v>0</v>
      </c>
      <c r="X23" s="1">
        <f>IF(tblData[@Target]=0,0, SUM(tblData[@Sales_Q1]:tblData[@Sales_Q4])/tblData[@Target])</f>
        <v>0</v>
      </c>
      <c r="Y23">
        <f>IF([@[Achieved_%]]&gt;=1,"Yes","No")</f>
        <v>0</v>
      </c>
      <c r="Z23">
        <f>RIGHT(tblData[@Email],LEN(tblData[@Email])-FIND("@",tblData[@Email]))</f>
        <v>0</v>
      </c>
      <c r="AA23">
        <f>YEAR(tblData[@Join_Date])</f>
        <v>0</v>
      </c>
      <c r="AB23" cm="1">
        <f t="array" ref="AB23">_xlfn.XLOOKUP(tblData[@Department],Dept!A:A,Dept!B:B,"N/A")</f>
        <v>0</v>
      </c>
      <c r="AC23" cm="1">
        <f t="array" ref="AC23">_xlfn.XLOOKUP(tblData[@Region],Region!A:A,Region!B:B,"N/A")</f>
        <v>0</v>
      </c>
      <c r="AD23">
        <f>UPPER(tblData[@Name])</f>
        <v>0</v>
      </c>
      <c r="AE23">
        <f>[@Total_Sales]-tblData[@Target]</f>
        <v>0</v>
      </c>
      <c r="AF23">
        <f>IFERROR(VALUE(MID(tblData[@Code],4,3)),"ERR")</f>
        <v>0</v>
      </c>
    </row>
    <row r="24" spans="1:32">
      <c r="A24" t="s">
        <v>44</v>
      </c>
      <c r="B24" t="s">
        <v>82</v>
      </c>
      <c r="C24" t="s">
        <v>97</v>
      </c>
      <c r="D24" t="s">
        <v>106</v>
      </c>
      <c r="E24" t="s">
        <v>129</v>
      </c>
      <c r="F24" s="2">
        <v>44033</v>
      </c>
      <c r="G24">
        <v>22012538</v>
      </c>
      <c r="H24">
        <v>2166737</v>
      </c>
      <c r="I24">
        <v>204.3</v>
      </c>
      <c r="J24">
        <v>28.30000000000001</v>
      </c>
      <c r="K24">
        <v>81378291</v>
      </c>
      <c r="L24">
        <v>86634821</v>
      </c>
      <c r="M24">
        <v>152325205</v>
      </c>
      <c r="N24">
        <v>203651082</v>
      </c>
      <c r="O24">
        <v>435322750</v>
      </c>
      <c r="P24" t="b">
        <v>1</v>
      </c>
      <c r="Q24" t="s">
        <v>25</v>
      </c>
      <c r="R24" t="s">
        <v>167</v>
      </c>
      <c r="S24" t="s">
        <v>186</v>
      </c>
      <c r="T24" t="s">
        <v>213</v>
      </c>
      <c r="U24" t="s">
        <v>253</v>
      </c>
      <c r="V24" t="s">
        <v>271</v>
      </c>
      <c r="W24">
        <f>SUM(tblData[@Sales_Q1]:tblData[@Sales_Q4])</f>
        <v>0</v>
      </c>
      <c r="X24" s="1">
        <f>IF(tblData[@Target]=0,0, SUM(tblData[@Sales_Q1]:tblData[@Sales_Q4])/tblData[@Target])</f>
        <v>0</v>
      </c>
      <c r="Y24">
        <f>IF([@[Achieved_%]]&gt;=1,"Yes","No")</f>
        <v>0</v>
      </c>
      <c r="Z24">
        <f>RIGHT(tblData[@Email],LEN(tblData[@Email])-FIND("@",tblData[@Email]))</f>
        <v>0</v>
      </c>
      <c r="AA24">
        <f>YEAR(tblData[@Join_Date])</f>
        <v>0</v>
      </c>
      <c r="AB24" cm="1">
        <f t="array" ref="AB24">_xlfn.XLOOKUP(tblData[@Department],Dept!A:A,Dept!B:B,"N/A")</f>
        <v>0</v>
      </c>
      <c r="AC24" cm="1">
        <f t="array" ref="AC24">_xlfn.XLOOKUP(tblData[@Region],Region!A:A,Region!B:B,"N/A")</f>
        <v>0</v>
      </c>
      <c r="AD24">
        <f>UPPER(tblData[@Name])</f>
        <v>0</v>
      </c>
      <c r="AE24">
        <f>[@Total_Sales]-tblData[@Target]</f>
        <v>0</v>
      </c>
      <c r="AF24">
        <f>IFERROR(VALUE(MID(tblData[@Code],4,3)),"ERR")</f>
        <v>0</v>
      </c>
    </row>
    <row r="25" spans="1:32">
      <c r="A25" t="s">
        <v>45</v>
      </c>
      <c r="B25" t="s">
        <v>83</v>
      </c>
      <c r="C25" t="s">
        <v>101</v>
      </c>
      <c r="D25" t="s">
        <v>102</v>
      </c>
      <c r="E25" t="s">
        <v>130</v>
      </c>
      <c r="F25" s="2">
        <v>44582</v>
      </c>
      <c r="G25">
        <v>14314127</v>
      </c>
      <c r="H25">
        <v>3107031</v>
      </c>
      <c r="I25">
        <v>165.7</v>
      </c>
      <c r="J25">
        <v>0</v>
      </c>
      <c r="K25">
        <v>314219973</v>
      </c>
      <c r="L25">
        <v>354138703</v>
      </c>
      <c r="M25">
        <v>225127900</v>
      </c>
      <c r="N25">
        <v>376241019</v>
      </c>
      <c r="O25">
        <v>912633146</v>
      </c>
      <c r="P25" t="b">
        <v>1</v>
      </c>
      <c r="Q25" t="s">
        <v>24</v>
      </c>
      <c r="R25" t="s">
        <v>168</v>
      </c>
      <c r="S25" t="s">
        <v>185</v>
      </c>
      <c r="T25" t="s">
        <v>214</v>
      </c>
      <c r="U25" t="s">
        <v>254</v>
      </c>
      <c r="V25" t="s">
        <v>272</v>
      </c>
      <c r="W25">
        <f>SUM(tblData[@Sales_Q1]:tblData[@Sales_Q4])</f>
        <v>0</v>
      </c>
      <c r="X25" s="1">
        <f>IF(tblData[@Target]=0,0, SUM(tblData[@Sales_Q1]:tblData[@Sales_Q4])/tblData[@Target])</f>
        <v>0</v>
      </c>
      <c r="Y25">
        <f>IF([@[Achieved_%]]&gt;=1,"Yes","No")</f>
        <v>0</v>
      </c>
      <c r="Z25">
        <f>RIGHT(tblData[@Email],LEN(tblData[@Email])-FIND("@",tblData[@Email]))</f>
        <v>0</v>
      </c>
      <c r="AA25">
        <f>YEAR(tblData[@Join_Date])</f>
        <v>0</v>
      </c>
      <c r="AB25" cm="1">
        <f t="array" ref="AB25">_xlfn.XLOOKUP(tblData[@Department],Dept!A:A,Dept!B:B,"N/A")</f>
        <v>0</v>
      </c>
      <c r="AC25" cm="1">
        <f t="array" ref="AC25">_xlfn.XLOOKUP(tblData[@Region],Region!A:A,Region!B:B,"N/A")</f>
        <v>0</v>
      </c>
      <c r="AD25">
        <f>UPPER(tblData[@Name])</f>
        <v>0</v>
      </c>
      <c r="AE25">
        <f>[@Total_Sales]-tblData[@Target]</f>
        <v>0</v>
      </c>
      <c r="AF25">
        <f>IFERROR(VALUE(MID(tblData[@Code],4,3)),"ERR")</f>
        <v>0</v>
      </c>
    </row>
    <row r="26" spans="1:32">
      <c r="A26" t="s">
        <v>46</v>
      </c>
      <c r="B26" t="s">
        <v>84</v>
      </c>
      <c r="C26" t="s">
        <v>97</v>
      </c>
      <c r="D26" t="s">
        <v>106</v>
      </c>
      <c r="E26" t="s">
        <v>131</v>
      </c>
      <c r="F26" s="2">
        <v>44233</v>
      </c>
      <c r="G26">
        <v>42465113</v>
      </c>
      <c r="H26">
        <v>6472473</v>
      </c>
      <c r="I26">
        <v>158.1</v>
      </c>
      <c r="J26">
        <v>0</v>
      </c>
      <c r="K26">
        <v>136641503</v>
      </c>
      <c r="L26">
        <v>262027187</v>
      </c>
      <c r="M26">
        <v>331420264</v>
      </c>
      <c r="N26">
        <v>333200416</v>
      </c>
      <c r="O26">
        <v>783816999</v>
      </c>
      <c r="P26" t="b">
        <v>1</v>
      </c>
      <c r="Q26" t="s">
        <v>24</v>
      </c>
      <c r="R26" t="s">
        <v>169</v>
      </c>
      <c r="S26" t="s">
        <v>188</v>
      </c>
      <c r="T26" t="s">
        <v>215</v>
      </c>
      <c r="U26" t="s">
        <v>255</v>
      </c>
      <c r="V26" t="s">
        <v>271</v>
      </c>
      <c r="W26">
        <f>SUM(tblData[@Sales_Q1]:tblData[@Sales_Q4])</f>
        <v>0</v>
      </c>
      <c r="X26" s="1">
        <f>IF(tblData[@Target]=0,0, SUM(tblData[@Sales_Q1]:tblData[@Sales_Q4])/tblData[@Target])</f>
        <v>0</v>
      </c>
      <c r="Y26">
        <f>IF([@[Achieved_%]]&gt;=1,"Yes","No")</f>
        <v>0</v>
      </c>
      <c r="Z26">
        <f>RIGHT(tblData[@Email],LEN(tblData[@Email])-FIND("@",tblData[@Email]))</f>
        <v>0</v>
      </c>
      <c r="AA26">
        <f>YEAR(tblData[@Join_Date])</f>
        <v>0</v>
      </c>
      <c r="AB26" cm="1">
        <f t="array" ref="AB26">_xlfn.XLOOKUP(tblData[@Department],Dept!A:A,Dept!B:B,"N/A")</f>
        <v>0</v>
      </c>
      <c r="AC26" cm="1">
        <f t="array" ref="AC26">_xlfn.XLOOKUP(tblData[@Region],Region!A:A,Region!B:B,"N/A")</f>
        <v>0</v>
      </c>
      <c r="AD26">
        <f>UPPER(tblData[@Name])</f>
        <v>0</v>
      </c>
      <c r="AE26">
        <f>[@Total_Sales]-tblData[@Target]</f>
        <v>0</v>
      </c>
      <c r="AF26">
        <f>IFERROR(VALUE(MID(tblData[@Code],4,3)),"ERR")</f>
        <v>0</v>
      </c>
    </row>
    <row r="27" spans="1:32">
      <c r="A27" t="s">
        <v>47</v>
      </c>
      <c r="B27" t="s">
        <v>85</v>
      </c>
      <c r="C27" t="s">
        <v>100</v>
      </c>
      <c r="D27" t="s">
        <v>106</v>
      </c>
      <c r="E27" t="s">
        <v>132</v>
      </c>
      <c r="F27" s="2">
        <v>45494</v>
      </c>
      <c r="G27">
        <v>17132582</v>
      </c>
      <c r="H27">
        <v>4066349</v>
      </c>
      <c r="I27">
        <v>151</v>
      </c>
      <c r="J27">
        <v>0</v>
      </c>
      <c r="K27">
        <v>263432470</v>
      </c>
      <c r="L27">
        <v>228017694</v>
      </c>
      <c r="M27">
        <v>60047453</v>
      </c>
      <c r="N27">
        <v>354016681</v>
      </c>
      <c r="O27">
        <v>184109026</v>
      </c>
      <c r="P27" t="b">
        <v>1</v>
      </c>
      <c r="R27" t="s">
        <v>170</v>
      </c>
      <c r="S27" t="s">
        <v>190</v>
      </c>
      <c r="T27" t="s">
        <v>216</v>
      </c>
      <c r="U27" t="s">
        <v>256</v>
      </c>
      <c r="V27" t="s">
        <v>271</v>
      </c>
      <c r="W27">
        <f>SUM(tblData[@Sales_Q1]:tblData[@Sales_Q4])</f>
        <v>0</v>
      </c>
      <c r="X27" s="1">
        <f>IF(tblData[@Target]=0,0, SUM(tblData[@Sales_Q1]:tblData[@Sales_Q4])/tblData[@Target])</f>
        <v>0</v>
      </c>
      <c r="Y27">
        <f>IF([@[Achieved_%]]&gt;=1,"Yes","No")</f>
        <v>0</v>
      </c>
      <c r="Z27">
        <f>RIGHT(tblData[@Email],LEN(tblData[@Email])-FIND("@",tblData[@Email]))</f>
        <v>0</v>
      </c>
      <c r="AA27">
        <f>YEAR(tblData[@Join_Date])</f>
        <v>0</v>
      </c>
      <c r="AB27" cm="1">
        <f t="array" ref="AB27">_xlfn.XLOOKUP(tblData[@Department],Dept!A:A,Dept!B:B,"N/A")</f>
        <v>0</v>
      </c>
      <c r="AC27" cm="1">
        <f t="array" ref="AC27">_xlfn.XLOOKUP(tblData[@Region],Region!A:A,Region!B:B,"N/A")</f>
        <v>0</v>
      </c>
      <c r="AD27">
        <f>UPPER(tblData[@Name])</f>
        <v>0</v>
      </c>
      <c r="AE27">
        <f>[@Total_Sales]-tblData[@Target]</f>
        <v>0</v>
      </c>
      <c r="AF27">
        <f>IFERROR(VALUE(MID(tblData[@Code],4,3)),"ERR")</f>
        <v>0</v>
      </c>
    </row>
    <row r="28" spans="1:32">
      <c r="A28" t="s">
        <v>48</v>
      </c>
      <c r="B28" t="s">
        <v>86</v>
      </c>
      <c r="C28" t="s">
        <v>98</v>
      </c>
      <c r="D28" t="s">
        <v>102</v>
      </c>
      <c r="E28" t="s">
        <v>133</v>
      </c>
      <c r="F28" s="2">
        <v>44093</v>
      </c>
      <c r="G28">
        <v>24037627</v>
      </c>
      <c r="H28">
        <v>2042981</v>
      </c>
      <c r="I28">
        <v>218.6</v>
      </c>
      <c r="J28">
        <v>42.59999999999999</v>
      </c>
      <c r="K28">
        <v>121450611</v>
      </c>
      <c r="L28">
        <v>177348283</v>
      </c>
      <c r="M28">
        <v>96510960</v>
      </c>
      <c r="N28">
        <v>145415947</v>
      </c>
      <c r="O28">
        <v>400368452</v>
      </c>
      <c r="P28" t="b">
        <v>1</v>
      </c>
      <c r="Q28" t="s">
        <v>23</v>
      </c>
      <c r="R28" t="s">
        <v>171</v>
      </c>
      <c r="S28" t="s">
        <v>186</v>
      </c>
      <c r="T28" t="s">
        <v>217</v>
      </c>
      <c r="U28" t="s">
        <v>257</v>
      </c>
      <c r="V28" t="s">
        <v>273</v>
      </c>
      <c r="W28">
        <f>SUM(tblData[@Sales_Q1]:tblData[@Sales_Q4])</f>
        <v>0</v>
      </c>
      <c r="X28" s="1">
        <f>IF(tblData[@Target]=0,0, SUM(tblData[@Sales_Q1]:tblData[@Sales_Q4])/tblData[@Target])</f>
        <v>0</v>
      </c>
      <c r="Y28">
        <f>IF([@[Achieved_%]]&gt;=1,"Yes","No")</f>
        <v>0</v>
      </c>
      <c r="Z28">
        <f>RIGHT(tblData[@Email],LEN(tblData[@Email])-FIND("@",tblData[@Email]))</f>
        <v>0</v>
      </c>
      <c r="AA28">
        <f>YEAR(tblData[@Join_Date])</f>
        <v>0</v>
      </c>
      <c r="AB28" cm="1">
        <f t="array" ref="AB28">_xlfn.XLOOKUP(tblData[@Department],Dept!A:A,Dept!B:B,"N/A")</f>
        <v>0</v>
      </c>
      <c r="AC28" cm="1">
        <f t="array" ref="AC28">_xlfn.XLOOKUP(tblData[@Region],Region!A:A,Region!B:B,"N/A")</f>
        <v>0</v>
      </c>
      <c r="AD28">
        <f>UPPER(tblData[@Name])</f>
        <v>0</v>
      </c>
      <c r="AE28">
        <f>[@Total_Sales]-tblData[@Target]</f>
        <v>0</v>
      </c>
      <c r="AF28">
        <f>IFERROR(VALUE(MID(tblData[@Code],4,3)),"ERR")</f>
        <v>0</v>
      </c>
    </row>
    <row r="29" spans="1:32">
      <c r="A29" t="s">
        <v>49</v>
      </c>
      <c r="B29" t="s">
        <v>77</v>
      </c>
      <c r="C29" t="s">
        <v>96</v>
      </c>
      <c r="D29" t="s">
        <v>104</v>
      </c>
      <c r="E29" t="s">
        <v>134</v>
      </c>
      <c r="F29" s="2">
        <v>44891</v>
      </c>
      <c r="G29">
        <v>40797855</v>
      </c>
      <c r="H29">
        <v>7205729</v>
      </c>
      <c r="I29">
        <v>167.1</v>
      </c>
      <c r="J29">
        <v>0</v>
      </c>
      <c r="K29">
        <v>373659410</v>
      </c>
      <c r="L29">
        <v>144962818</v>
      </c>
      <c r="M29">
        <v>101910807</v>
      </c>
      <c r="N29">
        <v>176736437</v>
      </c>
      <c r="O29">
        <v>278314487</v>
      </c>
      <c r="P29" t="b">
        <v>1</v>
      </c>
      <c r="Q29" t="s">
        <v>23</v>
      </c>
      <c r="R29" t="s">
        <v>172</v>
      </c>
      <c r="S29" t="s">
        <v>185</v>
      </c>
      <c r="T29" t="s">
        <v>218</v>
      </c>
      <c r="U29" t="s">
        <v>258</v>
      </c>
      <c r="V29" t="s">
        <v>272</v>
      </c>
      <c r="W29">
        <f>SUM(tblData[@Sales_Q1]:tblData[@Sales_Q4])</f>
        <v>0</v>
      </c>
      <c r="X29" s="1">
        <f>IF(tblData[@Target]=0,0, SUM(tblData[@Sales_Q1]:tblData[@Sales_Q4])/tblData[@Target])</f>
        <v>0</v>
      </c>
      <c r="Y29">
        <f>IF([@[Achieved_%]]&gt;=1,"Yes","No")</f>
        <v>0</v>
      </c>
      <c r="Z29">
        <f>RIGHT(tblData[@Email],LEN(tblData[@Email])-FIND("@",tblData[@Email]))</f>
        <v>0</v>
      </c>
      <c r="AA29">
        <f>YEAR(tblData[@Join_Date])</f>
        <v>0</v>
      </c>
      <c r="AB29" cm="1">
        <f t="array" ref="AB29">_xlfn.XLOOKUP(tblData[@Department],Dept!A:A,Dept!B:B,"N/A")</f>
        <v>0</v>
      </c>
      <c r="AC29" cm="1">
        <f t="array" ref="AC29">_xlfn.XLOOKUP(tblData[@Region],Region!A:A,Region!B:B,"N/A")</f>
        <v>0</v>
      </c>
      <c r="AD29">
        <f>UPPER(tblData[@Name])</f>
        <v>0</v>
      </c>
      <c r="AE29">
        <f>[@Total_Sales]-tblData[@Target]</f>
        <v>0</v>
      </c>
      <c r="AF29">
        <f>IFERROR(VALUE(MID(tblData[@Code],4,3)),"ERR")</f>
        <v>0</v>
      </c>
    </row>
    <row r="30" spans="1:32">
      <c r="A30" t="s">
        <v>50</v>
      </c>
      <c r="B30" t="s">
        <v>87</v>
      </c>
      <c r="C30" t="s">
        <v>100</v>
      </c>
      <c r="D30" t="s">
        <v>105</v>
      </c>
      <c r="E30" t="s">
        <v>135</v>
      </c>
      <c r="F30" s="2">
        <v>45527</v>
      </c>
      <c r="G30">
        <v>14041495</v>
      </c>
      <c r="H30">
        <v>3091736</v>
      </c>
      <c r="I30">
        <v>214.9</v>
      </c>
      <c r="J30">
        <v>38.90000000000001</v>
      </c>
      <c r="K30">
        <v>201786915</v>
      </c>
      <c r="L30">
        <v>151164453</v>
      </c>
      <c r="M30">
        <v>238928103</v>
      </c>
      <c r="N30">
        <v>396546429</v>
      </c>
      <c r="O30">
        <v>189501026</v>
      </c>
      <c r="P30" t="b">
        <v>1</v>
      </c>
      <c r="R30" t="s">
        <v>173</v>
      </c>
      <c r="S30" t="s">
        <v>187</v>
      </c>
      <c r="T30" t="s">
        <v>219</v>
      </c>
      <c r="U30" t="s">
        <v>259</v>
      </c>
      <c r="V30" t="s">
        <v>271</v>
      </c>
      <c r="W30">
        <f>SUM(tblData[@Sales_Q1]:tblData[@Sales_Q4])</f>
        <v>0</v>
      </c>
      <c r="X30" s="1">
        <f>IF(tblData[@Target]=0,0, SUM(tblData[@Sales_Q1]:tblData[@Sales_Q4])/tblData[@Target])</f>
        <v>0</v>
      </c>
      <c r="Y30">
        <f>IF([@[Achieved_%]]&gt;=1,"Yes","No")</f>
        <v>0</v>
      </c>
      <c r="Z30">
        <f>RIGHT(tblData[@Email],LEN(tblData[@Email])-FIND("@",tblData[@Email]))</f>
        <v>0</v>
      </c>
      <c r="AA30">
        <f>YEAR(tblData[@Join_Date])</f>
        <v>0</v>
      </c>
      <c r="AB30" cm="1">
        <f t="array" ref="AB30">_xlfn.XLOOKUP(tblData[@Department],Dept!A:A,Dept!B:B,"N/A")</f>
        <v>0</v>
      </c>
      <c r="AC30" cm="1">
        <f t="array" ref="AC30">_xlfn.XLOOKUP(tblData[@Region],Region!A:A,Region!B:B,"N/A")</f>
        <v>0</v>
      </c>
      <c r="AD30">
        <f>UPPER(tblData[@Name])</f>
        <v>0</v>
      </c>
      <c r="AE30">
        <f>[@Total_Sales]-tblData[@Target]</f>
        <v>0</v>
      </c>
      <c r="AF30">
        <f>IFERROR(VALUE(MID(tblData[@Code],4,3)),"ERR")</f>
        <v>0</v>
      </c>
    </row>
    <row r="31" spans="1:32">
      <c r="A31" t="s">
        <v>51</v>
      </c>
      <c r="B31" t="s">
        <v>86</v>
      </c>
      <c r="C31" t="s">
        <v>99</v>
      </c>
      <c r="D31" t="s">
        <v>103</v>
      </c>
      <c r="E31" t="s">
        <v>136</v>
      </c>
      <c r="F31" s="2">
        <v>44966</v>
      </c>
      <c r="G31">
        <v>41163773</v>
      </c>
      <c r="H31">
        <v>9798076</v>
      </c>
      <c r="I31">
        <v>217.9</v>
      </c>
      <c r="J31">
        <v>41.90000000000001</v>
      </c>
      <c r="K31">
        <v>195689489</v>
      </c>
      <c r="L31">
        <v>203794431</v>
      </c>
      <c r="M31">
        <v>287785965</v>
      </c>
      <c r="N31">
        <v>259310033</v>
      </c>
      <c r="O31">
        <v>974183605</v>
      </c>
      <c r="P31" t="b">
        <v>1</v>
      </c>
      <c r="Q31" t="s">
        <v>22</v>
      </c>
      <c r="R31" t="s">
        <v>174</v>
      </c>
      <c r="S31" t="s">
        <v>190</v>
      </c>
      <c r="T31" t="s">
        <v>220</v>
      </c>
      <c r="U31" t="s">
        <v>260</v>
      </c>
      <c r="V31" t="s">
        <v>271</v>
      </c>
      <c r="W31">
        <f>SUM(tblData[@Sales_Q1]:tblData[@Sales_Q4])</f>
        <v>0</v>
      </c>
      <c r="X31" s="1">
        <f>IF(tblData[@Target]=0,0, SUM(tblData[@Sales_Q1]:tblData[@Sales_Q4])/tblData[@Target])</f>
        <v>0</v>
      </c>
      <c r="Y31">
        <f>IF([@[Achieved_%]]&gt;=1,"Yes","No")</f>
        <v>0</v>
      </c>
      <c r="Z31">
        <f>RIGHT(tblData[@Email],LEN(tblData[@Email])-FIND("@",tblData[@Email]))</f>
        <v>0</v>
      </c>
      <c r="AA31">
        <f>YEAR(tblData[@Join_Date])</f>
        <v>0</v>
      </c>
      <c r="AB31" cm="1">
        <f t="array" ref="AB31">_xlfn.XLOOKUP(tblData[@Department],Dept!A:A,Dept!B:B,"N/A")</f>
        <v>0</v>
      </c>
      <c r="AC31" cm="1">
        <f t="array" ref="AC31">_xlfn.XLOOKUP(tblData[@Region],Region!A:A,Region!B:B,"N/A")</f>
        <v>0</v>
      </c>
      <c r="AD31">
        <f>UPPER(tblData[@Name])</f>
        <v>0</v>
      </c>
      <c r="AE31">
        <f>[@Total_Sales]-tblData[@Target]</f>
        <v>0</v>
      </c>
      <c r="AF31">
        <f>IFERROR(VALUE(MID(tblData[@Code],4,3)),"ERR")</f>
        <v>0</v>
      </c>
    </row>
    <row r="32" spans="1:32">
      <c r="A32" t="s">
        <v>52</v>
      </c>
      <c r="B32" t="s">
        <v>88</v>
      </c>
      <c r="C32" t="s">
        <v>100</v>
      </c>
      <c r="D32" t="s">
        <v>103</v>
      </c>
      <c r="E32" t="s">
        <v>137</v>
      </c>
      <c r="F32" s="2">
        <v>45017</v>
      </c>
      <c r="G32">
        <v>31705256</v>
      </c>
      <c r="H32">
        <v>2700813</v>
      </c>
      <c r="I32">
        <v>141.4</v>
      </c>
      <c r="J32">
        <v>0</v>
      </c>
      <c r="K32">
        <v>373839252</v>
      </c>
      <c r="L32">
        <v>281166767</v>
      </c>
      <c r="M32">
        <v>155797503</v>
      </c>
      <c r="N32">
        <v>190071312</v>
      </c>
      <c r="O32">
        <v>399369215</v>
      </c>
      <c r="P32" t="b">
        <v>1</v>
      </c>
      <c r="R32" t="s">
        <v>175</v>
      </c>
      <c r="S32" t="s">
        <v>189</v>
      </c>
      <c r="T32" t="s">
        <v>221</v>
      </c>
      <c r="U32" t="s">
        <v>261</v>
      </c>
      <c r="V32" t="s">
        <v>271</v>
      </c>
      <c r="W32">
        <f>SUM(tblData[@Sales_Q1]:tblData[@Sales_Q4])</f>
        <v>0</v>
      </c>
      <c r="X32" s="1">
        <f>IF(tblData[@Target]=0,0, SUM(tblData[@Sales_Q1]:tblData[@Sales_Q4])/tblData[@Target])</f>
        <v>0</v>
      </c>
      <c r="Y32">
        <f>IF([@[Achieved_%]]&gt;=1,"Yes","No")</f>
        <v>0</v>
      </c>
      <c r="Z32">
        <f>RIGHT(tblData[@Email],LEN(tblData[@Email])-FIND("@",tblData[@Email]))</f>
        <v>0</v>
      </c>
      <c r="AA32">
        <f>YEAR(tblData[@Join_Date])</f>
        <v>0</v>
      </c>
      <c r="AB32" cm="1">
        <f t="array" ref="AB32">_xlfn.XLOOKUP(tblData[@Department],Dept!A:A,Dept!B:B,"N/A")</f>
        <v>0</v>
      </c>
      <c r="AC32" cm="1">
        <f t="array" ref="AC32">_xlfn.XLOOKUP(tblData[@Region],Region!A:A,Region!B:B,"N/A")</f>
        <v>0</v>
      </c>
      <c r="AD32">
        <f>UPPER(tblData[@Name])</f>
        <v>0</v>
      </c>
      <c r="AE32">
        <f>[@Total_Sales]-tblData[@Target]</f>
        <v>0</v>
      </c>
      <c r="AF32">
        <f>IFERROR(VALUE(MID(tblData[@Code],4,3)),"ERR")</f>
        <v>0</v>
      </c>
    </row>
    <row r="33" spans="1:32">
      <c r="A33" t="s">
        <v>53</v>
      </c>
      <c r="B33" t="s">
        <v>88</v>
      </c>
      <c r="C33" t="s">
        <v>96</v>
      </c>
      <c r="D33" t="s">
        <v>103</v>
      </c>
      <c r="E33" t="s">
        <v>137</v>
      </c>
      <c r="F33" s="2">
        <v>44887</v>
      </c>
      <c r="G33">
        <v>45856186</v>
      </c>
      <c r="H33">
        <v>5665218</v>
      </c>
      <c r="I33">
        <v>161.2</v>
      </c>
      <c r="J33">
        <v>0</v>
      </c>
      <c r="K33">
        <v>127729132</v>
      </c>
      <c r="L33">
        <v>123214389</v>
      </c>
      <c r="M33">
        <v>183568263</v>
      </c>
      <c r="N33">
        <v>76365210</v>
      </c>
      <c r="O33">
        <v>941967770</v>
      </c>
      <c r="P33" t="b">
        <v>1</v>
      </c>
      <c r="Q33" t="s">
        <v>22</v>
      </c>
      <c r="R33" t="s">
        <v>176</v>
      </c>
      <c r="S33" t="s">
        <v>188</v>
      </c>
      <c r="T33" t="s">
        <v>222</v>
      </c>
      <c r="U33" t="s">
        <v>262</v>
      </c>
      <c r="V33" t="s">
        <v>272</v>
      </c>
      <c r="W33">
        <f>SUM(tblData[@Sales_Q1]:tblData[@Sales_Q4])</f>
        <v>0</v>
      </c>
      <c r="X33" s="1">
        <f>IF(tblData[@Target]=0,0, SUM(tblData[@Sales_Q1]:tblData[@Sales_Q4])/tblData[@Target])</f>
        <v>0</v>
      </c>
      <c r="Y33">
        <f>IF([@[Achieved_%]]&gt;=1,"Yes","No")</f>
        <v>0</v>
      </c>
      <c r="Z33">
        <f>RIGHT(tblData[@Email],LEN(tblData[@Email])-FIND("@",tblData[@Email]))</f>
        <v>0</v>
      </c>
      <c r="AA33">
        <f>YEAR(tblData[@Join_Date])</f>
        <v>0</v>
      </c>
      <c r="AB33" cm="1">
        <f t="array" ref="AB33">_xlfn.XLOOKUP(tblData[@Department],Dept!A:A,Dept!B:B,"N/A")</f>
        <v>0</v>
      </c>
      <c r="AC33" cm="1">
        <f t="array" ref="AC33">_xlfn.XLOOKUP(tblData[@Region],Region!A:A,Region!B:B,"N/A")</f>
        <v>0</v>
      </c>
      <c r="AD33">
        <f>UPPER(tblData[@Name])</f>
        <v>0</v>
      </c>
      <c r="AE33">
        <f>[@Total_Sales]-tblData[@Target]</f>
        <v>0</v>
      </c>
      <c r="AF33">
        <f>IFERROR(VALUE(MID(tblData[@Code],4,3)),"ERR")</f>
        <v>0</v>
      </c>
    </row>
    <row r="34" spans="1:32">
      <c r="A34" t="s">
        <v>54</v>
      </c>
      <c r="B34" t="s">
        <v>89</v>
      </c>
      <c r="C34" t="s">
        <v>98</v>
      </c>
      <c r="D34" t="s">
        <v>103</v>
      </c>
      <c r="E34" t="s">
        <v>138</v>
      </c>
      <c r="F34" s="2">
        <v>44056</v>
      </c>
      <c r="G34">
        <v>35180308</v>
      </c>
      <c r="H34">
        <v>5295600</v>
      </c>
      <c r="I34">
        <v>186.2</v>
      </c>
      <c r="J34">
        <v>10.19999999999999</v>
      </c>
      <c r="K34">
        <v>351691332</v>
      </c>
      <c r="L34">
        <v>182166290</v>
      </c>
      <c r="M34">
        <v>359255683</v>
      </c>
      <c r="N34">
        <v>154436258</v>
      </c>
      <c r="O34">
        <v>229688895</v>
      </c>
      <c r="P34" t="b">
        <v>1</v>
      </c>
      <c r="Q34" t="s">
        <v>25</v>
      </c>
      <c r="R34" t="s">
        <v>177</v>
      </c>
      <c r="S34" t="s">
        <v>186</v>
      </c>
      <c r="T34" t="s">
        <v>223</v>
      </c>
      <c r="U34" t="s">
        <v>263</v>
      </c>
      <c r="V34" t="s">
        <v>271</v>
      </c>
      <c r="W34">
        <f>SUM(tblData[@Sales_Q1]:tblData[@Sales_Q4])</f>
        <v>0</v>
      </c>
      <c r="X34" s="1">
        <f>IF(tblData[@Target]=0,0, SUM(tblData[@Sales_Q1]:tblData[@Sales_Q4])/tblData[@Target])</f>
        <v>0</v>
      </c>
      <c r="Y34">
        <f>IF([@[Achieved_%]]&gt;=1,"Yes","No")</f>
        <v>0</v>
      </c>
      <c r="Z34">
        <f>RIGHT(tblData[@Email],LEN(tblData[@Email])-FIND("@",tblData[@Email]))</f>
        <v>0</v>
      </c>
      <c r="AA34">
        <f>YEAR(tblData[@Join_Date])</f>
        <v>0</v>
      </c>
      <c r="AB34" cm="1">
        <f t="array" ref="AB34">_xlfn.XLOOKUP(tblData[@Department],Dept!A:A,Dept!B:B,"N/A")</f>
        <v>0</v>
      </c>
      <c r="AC34" cm="1">
        <f t="array" ref="AC34">_xlfn.XLOOKUP(tblData[@Region],Region!A:A,Region!B:B,"N/A")</f>
        <v>0</v>
      </c>
      <c r="AD34">
        <f>UPPER(tblData[@Name])</f>
        <v>0</v>
      </c>
      <c r="AE34">
        <f>[@Total_Sales]-tblData[@Target]</f>
        <v>0</v>
      </c>
      <c r="AF34">
        <f>IFERROR(VALUE(MID(tblData[@Code],4,3)),"ERR")</f>
        <v>0</v>
      </c>
    </row>
    <row r="35" spans="1:32">
      <c r="A35" t="s">
        <v>55</v>
      </c>
      <c r="B35" t="s">
        <v>90</v>
      </c>
      <c r="C35" t="s">
        <v>96</v>
      </c>
      <c r="D35" t="s">
        <v>106</v>
      </c>
      <c r="E35" t="s">
        <v>139</v>
      </c>
      <c r="F35" s="2">
        <v>44903</v>
      </c>
      <c r="G35">
        <v>30487056</v>
      </c>
      <c r="H35">
        <v>7588536</v>
      </c>
      <c r="I35">
        <v>177.6</v>
      </c>
      <c r="J35">
        <v>1.599999999999994</v>
      </c>
      <c r="K35">
        <v>176960685</v>
      </c>
      <c r="L35">
        <v>221216244</v>
      </c>
      <c r="M35">
        <v>86481541</v>
      </c>
      <c r="N35">
        <v>116385640</v>
      </c>
      <c r="O35">
        <v>915872407</v>
      </c>
      <c r="P35" t="b">
        <v>1</v>
      </c>
      <c r="Q35" t="s">
        <v>24</v>
      </c>
      <c r="R35" t="s">
        <v>178</v>
      </c>
      <c r="S35" t="s">
        <v>190</v>
      </c>
      <c r="T35" t="s">
        <v>224</v>
      </c>
      <c r="U35" t="s">
        <v>264</v>
      </c>
      <c r="V35" t="s">
        <v>272</v>
      </c>
      <c r="W35">
        <f>SUM(tblData[@Sales_Q1]:tblData[@Sales_Q4])</f>
        <v>0</v>
      </c>
      <c r="X35" s="1">
        <f>IF(tblData[@Target]=0,0, SUM(tblData[@Sales_Q1]:tblData[@Sales_Q4])/tblData[@Target])</f>
        <v>0</v>
      </c>
      <c r="Y35">
        <f>IF([@[Achieved_%]]&gt;=1,"Yes","No")</f>
        <v>0</v>
      </c>
      <c r="Z35">
        <f>RIGHT(tblData[@Email],LEN(tblData[@Email])-FIND("@",tblData[@Email]))</f>
        <v>0</v>
      </c>
      <c r="AA35">
        <f>YEAR(tblData[@Join_Date])</f>
        <v>0</v>
      </c>
      <c r="AB35" cm="1">
        <f t="array" ref="AB35">_xlfn.XLOOKUP(tblData[@Department],Dept!A:A,Dept!B:B,"N/A")</f>
        <v>0</v>
      </c>
      <c r="AC35" cm="1">
        <f t="array" ref="AC35">_xlfn.XLOOKUP(tblData[@Region],Region!A:A,Region!B:B,"N/A")</f>
        <v>0</v>
      </c>
      <c r="AD35">
        <f>UPPER(tblData[@Name])</f>
        <v>0</v>
      </c>
      <c r="AE35">
        <f>[@Total_Sales]-tblData[@Target]</f>
        <v>0</v>
      </c>
      <c r="AF35">
        <f>IFERROR(VALUE(MID(tblData[@Code],4,3)),"ERR")</f>
        <v>0</v>
      </c>
    </row>
    <row r="36" spans="1:32">
      <c r="A36" t="s">
        <v>56</v>
      </c>
      <c r="B36" t="s">
        <v>91</v>
      </c>
      <c r="C36" t="s">
        <v>98</v>
      </c>
      <c r="D36" t="s">
        <v>102</v>
      </c>
      <c r="E36" t="s">
        <v>140</v>
      </c>
      <c r="F36" s="2">
        <v>45203</v>
      </c>
      <c r="G36">
        <v>35097584</v>
      </c>
      <c r="H36">
        <v>5635022</v>
      </c>
      <c r="I36">
        <v>185.8</v>
      </c>
      <c r="J36">
        <v>9.800000000000011</v>
      </c>
      <c r="K36">
        <v>373609715</v>
      </c>
      <c r="L36">
        <v>240906558</v>
      </c>
      <c r="M36">
        <v>289216892</v>
      </c>
      <c r="N36">
        <v>93369428</v>
      </c>
      <c r="O36">
        <v>969956639</v>
      </c>
      <c r="P36" t="b">
        <v>1</v>
      </c>
      <c r="Q36" t="s">
        <v>26</v>
      </c>
      <c r="R36" t="s">
        <v>179</v>
      </c>
      <c r="S36" t="s">
        <v>185</v>
      </c>
      <c r="T36" t="s">
        <v>225</v>
      </c>
      <c r="U36" t="s">
        <v>265</v>
      </c>
      <c r="V36" t="s">
        <v>272</v>
      </c>
      <c r="W36">
        <f>SUM(tblData[@Sales_Q1]:tblData[@Sales_Q4])</f>
        <v>0</v>
      </c>
      <c r="X36" s="1">
        <f>IF(tblData[@Target]=0,0, SUM(tblData[@Sales_Q1]:tblData[@Sales_Q4])/tblData[@Target])</f>
        <v>0</v>
      </c>
      <c r="Y36">
        <f>IF([@[Achieved_%]]&gt;=1,"Yes","No")</f>
        <v>0</v>
      </c>
      <c r="Z36">
        <f>RIGHT(tblData[@Email],LEN(tblData[@Email])-FIND("@",tblData[@Email]))</f>
        <v>0</v>
      </c>
      <c r="AA36">
        <f>YEAR(tblData[@Join_Date])</f>
        <v>0</v>
      </c>
      <c r="AB36" cm="1">
        <f t="array" ref="AB36">_xlfn.XLOOKUP(tblData[@Department],Dept!A:A,Dept!B:B,"N/A")</f>
        <v>0</v>
      </c>
      <c r="AC36" cm="1">
        <f t="array" ref="AC36">_xlfn.XLOOKUP(tblData[@Region],Region!A:A,Region!B:B,"N/A")</f>
        <v>0</v>
      </c>
      <c r="AD36">
        <f>UPPER(tblData[@Name])</f>
        <v>0</v>
      </c>
      <c r="AE36">
        <f>[@Total_Sales]-tblData[@Target]</f>
        <v>0</v>
      </c>
      <c r="AF36">
        <f>IFERROR(VALUE(MID(tblData[@Code],4,3)),"ERR")</f>
        <v>0</v>
      </c>
    </row>
    <row r="37" spans="1:32">
      <c r="A37" t="s">
        <v>57</v>
      </c>
      <c r="B37" t="s">
        <v>92</v>
      </c>
      <c r="C37" t="s">
        <v>100</v>
      </c>
      <c r="D37" t="s">
        <v>103</v>
      </c>
      <c r="E37" t="s">
        <v>141</v>
      </c>
      <c r="F37" s="2">
        <v>45015</v>
      </c>
      <c r="G37">
        <v>26992383</v>
      </c>
      <c r="H37">
        <v>3969391</v>
      </c>
      <c r="I37">
        <v>169.8</v>
      </c>
      <c r="J37">
        <v>0</v>
      </c>
      <c r="K37">
        <v>134574185</v>
      </c>
      <c r="L37">
        <v>312657758</v>
      </c>
      <c r="M37">
        <v>355070649</v>
      </c>
      <c r="N37">
        <v>286295490</v>
      </c>
      <c r="O37">
        <v>450910439</v>
      </c>
      <c r="P37" t="b">
        <v>0</v>
      </c>
      <c r="Q37" t="s">
        <v>24</v>
      </c>
      <c r="R37" t="s">
        <v>180</v>
      </c>
      <c r="S37" t="s">
        <v>186</v>
      </c>
      <c r="T37" t="s">
        <v>226</v>
      </c>
      <c r="U37" t="s">
        <v>266</v>
      </c>
      <c r="V37" t="s">
        <v>272</v>
      </c>
      <c r="W37">
        <f>SUM(tblData[@Sales_Q1]:tblData[@Sales_Q4])</f>
        <v>0</v>
      </c>
      <c r="X37" s="1">
        <f>IF(tblData[@Target]=0,0, SUM(tblData[@Sales_Q1]:tblData[@Sales_Q4])/tblData[@Target])</f>
        <v>0</v>
      </c>
      <c r="Y37">
        <f>IF([@[Achieved_%]]&gt;=1,"Yes","No")</f>
        <v>0</v>
      </c>
      <c r="Z37">
        <f>RIGHT(tblData[@Email],LEN(tblData[@Email])-FIND("@",tblData[@Email]))</f>
        <v>0</v>
      </c>
      <c r="AA37">
        <f>YEAR(tblData[@Join_Date])</f>
        <v>0</v>
      </c>
      <c r="AB37" cm="1">
        <f t="array" ref="AB37">_xlfn.XLOOKUP(tblData[@Department],Dept!A:A,Dept!B:B,"N/A")</f>
        <v>0</v>
      </c>
      <c r="AC37" cm="1">
        <f t="array" ref="AC37">_xlfn.XLOOKUP(tblData[@Region],Region!A:A,Region!B:B,"N/A")</f>
        <v>0</v>
      </c>
      <c r="AD37">
        <f>UPPER(tblData[@Name])</f>
        <v>0</v>
      </c>
      <c r="AE37">
        <f>[@Total_Sales]-tblData[@Target]</f>
        <v>0</v>
      </c>
      <c r="AF37">
        <f>IFERROR(VALUE(MID(tblData[@Code],4,3)),"ERR")</f>
        <v>0</v>
      </c>
    </row>
    <row r="38" spans="1:32">
      <c r="A38" t="s">
        <v>58</v>
      </c>
      <c r="B38" t="s">
        <v>93</v>
      </c>
      <c r="C38" t="s">
        <v>96</v>
      </c>
      <c r="D38" t="s">
        <v>104</v>
      </c>
      <c r="E38" t="s">
        <v>142</v>
      </c>
      <c r="F38" s="2">
        <v>44516</v>
      </c>
      <c r="G38">
        <v>22716695</v>
      </c>
      <c r="H38">
        <v>2085023</v>
      </c>
      <c r="I38">
        <v>193.7</v>
      </c>
      <c r="J38">
        <v>17.69999999999999</v>
      </c>
      <c r="K38">
        <v>114785345</v>
      </c>
      <c r="L38">
        <v>67882750</v>
      </c>
      <c r="M38">
        <v>128725274</v>
      </c>
      <c r="N38">
        <v>244521577</v>
      </c>
      <c r="O38">
        <v>697063169</v>
      </c>
      <c r="P38" t="b">
        <v>0</v>
      </c>
      <c r="Q38" t="s">
        <v>26</v>
      </c>
      <c r="R38" t="s">
        <v>181</v>
      </c>
      <c r="S38" t="s">
        <v>185</v>
      </c>
      <c r="T38" t="s">
        <v>227</v>
      </c>
      <c r="U38" t="s">
        <v>267</v>
      </c>
      <c r="V38" t="s">
        <v>272</v>
      </c>
      <c r="W38">
        <f>SUM(tblData[@Sales_Q1]:tblData[@Sales_Q4])</f>
        <v>0</v>
      </c>
      <c r="X38" s="1">
        <f>IF(tblData[@Target]=0,0, SUM(tblData[@Sales_Q1]:tblData[@Sales_Q4])/tblData[@Target])</f>
        <v>0</v>
      </c>
      <c r="Y38">
        <f>IF([@[Achieved_%]]&gt;=1,"Yes","No")</f>
        <v>0</v>
      </c>
      <c r="Z38">
        <f>RIGHT(tblData[@Email],LEN(tblData[@Email])-FIND("@",tblData[@Email]))</f>
        <v>0</v>
      </c>
      <c r="AA38">
        <f>YEAR(tblData[@Join_Date])</f>
        <v>0</v>
      </c>
      <c r="AB38" cm="1">
        <f t="array" ref="AB38">_xlfn.XLOOKUP(tblData[@Department],Dept!A:A,Dept!B:B,"N/A")</f>
        <v>0</v>
      </c>
      <c r="AC38" cm="1">
        <f t="array" ref="AC38">_xlfn.XLOOKUP(tblData[@Region],Region!A:A,Region!B:B,"N/A")</f>
        <v>0</v>
      </c>
      <c r="AD38">
        <f>UPPER(tblData[@Name])</f>
        <v>0</v>
      </c>
      <c r="AE38">
        <f>[@Total_Sales]-tblData[@Target]</f>
        <v>0</v>
      </c>
      <c r="AF38">
        <f>IFERROR(VALUE(MID(tblData[@Code],4,3)),"ERR")</f>
        <v>0</v>
      </c>
    </row>
    <row r="39" spans="1:32">
      <c r="A39" t="s">
        <v>59</v>
      </c>
      <c r="B39" t="s">
        <v>94</v>
      </c>
      <c r="C39" t="s">
        <v>99</v>
      </c>
      <c r="D39" t="s">
        <v>106</v>
      </c>
      <c r="E39" t="s">
        <v>143</v>
      </c>
      <c r="F39" s="2">
        <v>44615</v>
      </c>
      <c r="G39">
        <v>29130343</v>
      </c>
      <c r="H39">
        <v>5517378</v>
      </c>
      <c r="I39">
        <v>196.2</v>
      </c>
      <c r="J39">
        <v>20.19999999999999</v>
      </c>
      <c r="K39">
        <v>276860070</v>
      </c>
      <c r="L39">
        <v>237225564</v>
      </c>
      <c r="M39">
        <v>249759529</v>
      </c>
      <c r="N39">
        <v>304954230</v>
      </c>
      <c r="O39">
        <v>879203225</v>
      </c>
      <c r="P39" t="b">
        <v>1</v>
      </c>
      <c r="Q39" t="s">
        <v>25</v>
      </c>
      <c r="R39" t="s">
        <v>182</v>
      </c>
      <c r="S39" t="s">
        <v>185</v>
      </c>
      <c r="T39" t="s">
        <v>228</v>
      </c>
      <c r="U39" t="s">
        <v>268</v>
      </c>
      <c r="V39" t="s">
        <v>271</v>
      </c>
      <c r="W39">
        <f>SUM(tblData[@Sales_Q1]:tblData[@Sales_Q4])</f>
        <v>0</v>
      </c>
      <c r="X39" s="1">
        <f>IF(tblData[@Target]=0,0, SUM(tblData[@Sales_Q1]:tblData[@Sales_Q4])/tblData[@Target])</f>
        <v>0</v>
      </c>
      <c r="Y39">
        <f>IF([@[Achieved_%]]&gt;=1,"Yes","No")</f>
        <v>0</v>
      </c>
      <c r="Z39">
        <f>RIGHT(tblData[@Email],LEN(tblData[@Email])-FIND("@",tblData[@Email]))</f>
        <v>0</v>
      </c>
      <c r="AA39">
        <f>YEAR(tblData[@Join_Date])</f>
        <v>0</v>
      </c>
      <c r="AB39" cm="1">
        <f t="array" ref="AB39">_xlfn.XLOOKUP(tblData[@Department],Dept!A:A,Dept!B:B,"N/A")</f>
        <v>0</v>
      </c>
      <c r="AC39" cm="1">
        <f t="array" ref="AC39">_xlfn.XLOOKUP(tblData[@Region],Region!A:A,Region!B:B,"N/A")</f>
        <v>0</v>
      </c>
      <c r="AD39">
        <f>UPPER(tblData[@Name])</f>
        <v>0</v>
      </c>
      <c r="AE39">
        <f>[@Total_Sales]-tblData[@Target]</f>
        <v>0</v>
      </c>
      <c r="AF39">
        <f>IFERROR(VALUE(MID(tblData[@Code],4,3)),"ERR")</f>
        <v>0</v>
      </c>
    </row>
    <row r="40" spans="1:32">
      <c r="A40" t="s">
        <v>60</v>
      </c>
      <c r="B40" t="s">
        <v>78</v>
      </c>
      <c r="C40" t="s">
        <v>100</v>
      </c>
      <c r="D40" t="s">
        <v>104</v>
      </c>
      <c r="E40" t="s">
        <v>123</v>
      </c>
      <c r="F40" s="2">
        <v>44751</v>
      </c>
      <c r="G40">
        <v>17185687</v>
      </c>
      <c r="H40">
        <v>3998217</v>
      </c>
      <c r="I40">
        <v>180.9</v>
      </c>
      <c r="J40">
        <v>4.900000000000006</v>
      </c>
      <c r="K40">
        <v>56512440</v>
      </c>
      <c r="L40">
        <v>62431395</v>
      </c>
      <c r="M40">
        <v>257426220</v>
      </c>
      <c r="N40">
        <v>347529363</v>
      </c>
      <c r="O40">
        <v>794090176</v>
      </c>
      <c r="P40" t="b">
        <v>1</v>
      </c>
      <c r="Q40" t="s">
        <v>24</v>
      </c>
      <c r="R40" t="s">
        <v>183</v>
      </c>
      <c r="S40" t="s">
        <v>188</v>
      </c>
      <c r="T40" t="s">
        <v>229</v>
      </c>
      <c r="U40" t="s">
        <v>269</v>
      </c>
      <c r="V40" t="s">
        <v>273</v>
      </c>
      <c r="W40">
        <f>SUM(tblData[@Sales_Q1]:tblData[@Sales_Q4])</f>
        <v>0</v>
      </c>
      <c r="X40" s="1">
        <f>IF(tblData[@Target]=0,0, SUM(tblData[@Sales_Q1]:tblData[@Sales_Q4])/tblData[@Target])</f>
        <v>0</v>
      </c>
      <c r="Y40">
        <f>IF([@[Achieved_%]]&gt;=1,"Yes","No")</f>
        <v>0</v>
      </c>
      <c r="Z40">
        <f>RIGHT(tblData[@Email],LEN(tblData[@Email])-FIND("@",tblData[@Email]))</f>
        <v>0</v>
      </c>
      <c r="AA40">
        <f>YEAR(tblData[@Join_Date])</f>
        <v>0</v>
      </c>
      <c r="AB40" cm="1">
        <f t="array" ref="AB40">_xlfn.XLOOKUP(tblData[@Department],Dept!A:A,Dept!B:B,"N/A")</f>
        <v>0</v>
      </c>
      <c r="AC40" cm="1">
        <f t="array" ref="AC40">_xlfn.XLOOKUP(tblData[@Region],Region!A:A,Region!B:B,"N/A")</f>
        <v>0</v>
      </c>
      <c r="AD40">
        <f>UPPER(tblData[@Name])</f>
        <v>0</v>
      </c>
      <c r="AE40">
        <f>[@Total_Sales]-tblData[@Target]</f>
        <v>0</v>
      </c>
      <c r="AF40">
        <f>IFERROR(VALUE(MID(tblData[@Code],4,3)),"ERR")</f>
        <v>0</v>
      </c>
    </row>
    <row r="41" spans="1:32">
      <c r="A41" t="s">
        <v>61</v>
      </c>
      <c r="B41" t="s">
        <v>95</v>
      </c>
      <c r="C41" t="s">
        <v>101</v>
      </c>
      <c r="D41" t="s">
        <v>103</v>
      </c>
      <c r="E41" t="s">
        <v>144</v>
      </c>
      <c r="F41" s="2">
        <v>45630</v>
      </c>
      <c r="G41">
        <v>34451949</v>
      </c>
      <c r="H41">
        <v>7205919</v>
      </c>
      <c r="I41">
        <v>211.2</v>
      </c>
      <c r="J41">
        <v>35.19999999999999</v>
      </c>
      <c r="K41">
        <v>168613134</v>
      </c>
      <c r="L41">
        <v>52503771</v>
      </c>
      <c r="M41">
        <v>388722145</v>
      </c>
      <c r="N41">
        <v>322619295</v>
      </c>
      <c r="O41">
        <v>486210646</v>
      </c>
      <c r="P41" t="b">
        <v>1</v>
      </c>
      <c r="Q41" t="s">
        <v>25</v>
      </c>
      <c r="R41" t="s">
        <v>184</v>
      </c>
      <c r="S41" t="s">
        <v>189</v>
      </c>
      <c r="T41" t="s">
        <v>230</v>
      </c>
      <c r="U41" t="s">
        <v>270</v>
      </c>
      <c r="V41" t="s">
        <v>271</v>
      </c>
      <c r="W41">
        <f>SUM(tblData[@Sales_Q1]:tblData[@Sales_Q4])</f>
        <v>0</v>
      </c>
      <c r="X41" s="1">
        <f>IF(tblData[@Target]=0,0, SUM(tblData[@Sales_Q1]:tblData[@Sales_Q4])/tblData[@Target])</f>
        <v>0</v>
      </c>
      <c r="Y41">
        <f>IF([@[Achieved_%]]&gt;=1,"Yes","No")</f>
        <v>0</v>
      </c>
      <c r="Z41">
        <f>RIGHT(tblData[@Email],LEN(tblData[@Email])-FIND("@",tblData[@Email]))</f>
        <v>0</v>
      </c>
      <c r="AA41">
        <f>YEAR(tblData[@Join_Date])</f>
        <v>0</v>
      </c>
      <c r="AB41" cm="1">
        <f t="array" ref="AB41">_xlfn.XLOOKUP(tblData[@Department],Dept!A:A,Dept!B:B,"N/A")</f>
        <v>0</v>
      </c>
      <c r="AC41" cm="1">
        <f t="array" ref="AC41">_xlfn.XLOOKUP(tblData[@Region],Region!A:A,Region!B:B,"N/A")</f>
        <v>0</v>
      </c>
      <c r="AD41">
        <f>UPPER(tblData[@Name])</f>
        <v>0</v>
      </c>
      <c r="AE41">
        <f>[@Total_Sales]-tblData[@Target]</f>
        <v>0</v>
      </c>
      <c r="AF41">
        <f>IFERROR(VALUE(MID(tblData[@Code],4,3)),"ERR")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3" t="s">
        <v>2</v>
      </c>
      <c r="B1" s="3" t="s">
        <v>274</v>
      </c>
      <c r="C1" s="3" t="s">
        <v>275</v>
      </c>
    </row>
    <row r="2" spans="1:3">
      <c r="A2" t="s">
        <v>97</v>
      </c>
      <c r="B2" t="s">
        <v>276</v>
      </c>
      <c r="C2">
        <v>10</v>
      </c>
    </row>
    <row r="3" spans="1:3">
      <c r="A3" t="s">
        <v>101</v>
      </c>
      <c r="B3" t="s">
        <v>277</v>
      </c>
      <c r="C3">
        <v>6</v>
      </c>
    </row>
    <row r="4" spans="1:3">
      <c r="A4" t="s">
        <v>98</v>
      </c>
      <c r="B4" t="s">
        <v>278</v>
      </c>
      <c r="C4">
        <v>8</v>
      </c>
    </row>
    <row r="5" spans="1:3">
      <c r="A5" t="s">
        <v>99</v>
      </c>
      <c r="B5" t="s">
        <v>279</v>
      </c>
      <c r="C5">
        <v>12</v>
      </c>
    </row>
    <row r="6" spans="1:3">
      <c r="A6" t="s">
        <v>100</v>
      </c>
      <c r="B6" t="s">
        <v>280</v>
      </c>
      <c r="C6">
        <v>7</v>
      </c>
    </row>
    <row r="7" spans="1:3">
      <c r="A7" t="s">
        <v>96</v>
      </c>
      <c r="B7" t="s">
        <v>281</v>
      </c>
      <c r="C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3" t="s">
        <v>3</v>
      </c>
      <c r="B1" s="3" t="s">
        <v>282</v>
      </c>
      <c r="C1" s="3" t="s">
        <v>283</v>
      </c>
    </row>
    <row r="2" spans="1:3">
      <c r="A2" t="s">
        <v>105</v>
      </c>
      <c r="B2" t="s">
        <v>284</v>
      </c>
      <c r="C2">
        <v>25000</v>
      </c>
    </row>
    <row r="3" spans="1:3">
      <c r="A3" t="s">
        <v>103</v>
      </c>
      <c r="B3" t="s">
        <v>285</v>
      </c>
      <c r="C3">
        <v>30000</v>
      </c>
    </row>
    <row r="4" spans="1:3">
      <c r="A4" t="s">
        <v>102</v>
      </c>
      <c r="B4" t="s">
        <v>286</v>
      </c>
      <c r="C4">
        <v>35000</v>
      </c>
    </row>
    <row r="5" spans="1:3">
      <c r="A5" t="s">
        <v>104</v>
      </c>
      <c r="B5" t="s">
        <v>287</v>
      </c>
      <c r="C5">
        <v>40000</v>
      </c>
    </row>
    <row r="6" spans="1:3">
      <c r="A6" t="s">
        <v>106</v>
      </c>
      <c r="B6" t="s">
        <v>288</v>
      </c>
      <c r="C6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3" t="s">
        <v>299</v>
      </c>
      <c r="B1" s="3" t="s">
        <v>300</v>
      </c>
    </row>
    <row r="2" spans="1:2">
      <c r="A2" t="s">
        <v>301</v>
      </c>
      <c r="B2" t="s">
        <v>305</v>
      </c>
    </row>
    <row r="3" spans="1:2">
      <c r="A3" t="s">
        <v>302</v>
      </c>
      <c r="B3" t="s">
        <v>306</v>
      </c>
    </row>
    <row r="4" spans="1:2">
      <c r="A4" t="s">
        <v>302</v>
      </c>
      <c r="B4" t="s">
        <v>307</v>
      </c>
    </row>
    <row r="5" spans="1:2">
      <c r="A5" t="s">
        <v>302</v>
      </c>
      <c r="B5" t="s">
        <v>308</v>
      </c>
    </row>
    <row r="6" spans="1:2">
      <c r="A6" t="s">
        <v>303</v>
      </c>
      <c r="B6" t="s">
        <v>309</v>
      </c>
    </row>
    <row r="7" spans="1:2">
      <c r="A7" t="s">
        <v>303</v>
      </c>
      <c r="B7" t="s">
        <v>310</v>
      </c>
    </row>
    <row r="8" spans="1:2">
      <c r="A8" t="s">
        <v>303</v>
      </c>
      <c r="B8" t="s">
        <v>311</v>
      </c>
    </row>
    <row r="9" spans="1:2">
      <c r="A9" t="s">
        <v>303</v>
      </c>
      <c r="B9" t="s">
        <v>312</v>
      </c>
    </row>
    <row r="10" spans="1:2">
      <c r="A10" t="s">
        <v>303</v>
      </c>
      <c r="B10" t="s">
        <v>313</v>
      </c>
    </row>
    <row r="11" spans="1:2">
      <c r="A11" t="s">
        <v>303</v>
      </c>
      <c r="B11" t="s">
        <v>314</v>
      </c>
    </row>
    <row r="12" spans="1:2">
      <c r="A12" t="s">
        <v>303</v>
      </c>
      <c r="B12" t="s">
        <v>315</v>
      </c>
    </row>
    <row r="13" spans="1:2">
      <c r="A13" t="s">
        <v>304</v>
      </c>
      <c r="B13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Dept</vt:lpstr>
      <vt:lpstr>Region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2025-11-04T17:23:51Z</dcterms:created>
  <dcterms:modified xsi:type="dcterms:W3CDTF">2025-11-04T17:23:51Z</dcterms:modified>
</cp:coreProperties>
</file>